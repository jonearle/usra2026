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/usra2026/data/retransmission/"/>
    </mc:Choice>
  </mc:AlternateContent>
  <xr:revisionPtr revIDLastSave="0" documentId="13_ncr:1_{4BDF6922-DB88-1349-8CFE-FA01D1AFB05C}" xr6:coauthVersionLast="47" xr6:coauthVersionMax="47" xr10:uidLastSave="{00000000-0000-0000-0000-000000000000}"/>
  <bookViews>
    <workbookView xWindow="0" yWindow="500" windowWidth="22140" windowHeight="17500" xr2:uid="{BA0DE5CA-BD62-3947-9D81-60CC5EA6E905}"/>
  </bookViews>
  <sheets>
    <sheet name="Retransmiss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1" l="1"/>
  <c r="G14" i="1"/>
  <c r="H14" i="1"/>
  <c r="I14" i="1"/>
  <c r="J14" i="1"/>
  <c r="K14" i="1"/>
  <c r="L14" i="1"/>
  <c r="M14" i="1"/>
  <c r="N14" i="1"/>
  <c r="E15" i="1"/>
  <c r="G15" i="1"/>
  <c r="H15" i="1"/>
  <c r="I15" i="1"/>
  <c r="J15" i="1"/>
  <c r="K15" i="1"/>
  <c r="L15" i="1"/>
  <c r="M15" i="1"/>
  <c r="N15" i="1"/>
  <c r="E16" i="1"/>
  <c r="G16" i="1"/>
  <c r="H16" i="1"/>
  <c r="I16" i="1"/>
  <c r="J16" i="1"/>
  <c r="K16" i="1"/>
  <c r="L16" i="1"/>
  <c r="M16" i="1"/>
  <c r="N16" i="1"/>
  <c r="E17" i="1"/>
  <c r="G17" i="1"/>
  <c r="H17" i="1"/>
  <c r="I17" i="1"/>
  <c r="J17" i="1"/>
  <c r="K17" i="1"/>
  <c r="L17" i="1"/>
  <c r="M17" i="1"/>
  <c r="N17" i="1"/>
  <c r="E18" i="1"/>
  <c r="G18" i="1"/>
  <c r="H18" i="1"/>
  <c r="M18" i="1"/>
  <c r="N18" i="1"/>
</calcChain>
</file>

<file path=xl/sharedStrings.xml><?xml version="1.0" encoding="utf-8"?>
<sst xmlns="http://schemas.openxmlformats.org/spreadsheetml/2006/main" count="53" uniqueCount="30">
  <si>
    <t>timestamp</t>
  </si>
  <si>
    <t xml:space="preserve"> nodeId</t>
  </si>
  <si>
    <t xml:space="preserve"> uptimeSeconds</t>
  </si>
  <si>
    <t>channelUtilization</t>
  </si>
  <si>
    <t>airUtilTx</t>
  </si>
  <si>
    <t>numPacketsTx</t>
  </si>
  <si>
    <t>numPacketsRx</t>
  </si>
  <si>
    <t>numOnlineNodes</t>
  </si>
  <si>
    <t>numTotalNodes</t>
  </si>
  <si>
    <t>numRxDupe</t>
  </si>
  <si>
    <t>numTxRelay</t>
  </si>
  <si>
    <t>1782308803.6791291</t>
  </si>
  <si>
    <t>!6c73daa0</t>
  </si>
  <si>
    <t>1782309202.331554</t>
  </si>
  <si>
    <t>!dadfb0cc</t>
  </si>
  <si>
    <t>1782310165.334353</t>
  </si>
  <si>
    <t>!dadfb8d4</t>
  </si>
  <si>
    <t>1782310732.606525</t>
  </si>
  <si>
    <t>!dadfb008</t>
  </si>
  <si>
    <t>!dadfb03c</t>
  </si>
  <si>
    <t>1782312597.389235</t>
  </si>
  <si>
    <t>1782315554.031728</t>
  </si>
  <si>
    <t>1782316035.450979</t>
  </si>
  <si>
    <t>1782316761.518246</t>
  </si>
  <si>
    <t>1782317435.696922</t>
  </si>
  <si>
    <t>1782318815.515288</t>
  </si>
  <si>
    <t>N/A</t>
  </si>
  <si>
    <t>numPacketsRxBad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</si>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</sst>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BBBEBF"/>
      <name val="Menlo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0" fontId="0" fillId="2" borderId="0" xfId="0" applyFill="1"/>
    <xf numFmtId="0" fontId="1" fillId="0" borderId="0" xfId="0" applyFont="1"/>
    <xf numFmtId="0" fontId="0" fillId="2" borderId="0" xfId="0" quotePrefix="1" applyFill="1"/>
    <xf numFmtId="0" fontId="0" fillId="3" borderId="0" xfId="0" quotePrefix="1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2" fillId="2" borderId="0" xfId="0" applyFont="1" applyFill="1"/>
    <xf numFmtId="176" fontId="0" fillId="0" borderId="0" xfId="0" applyNumberFormat="1"/>
    <xf numFmtId="17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EAF8-9E09-C54B-B71B-EEF13BC223DE}">
  <dimension ref="A1:N18"/>
  <sheetViews>
    <sheetView tabSelected="1" zoomScale="117" workbookViewId="0">
      <selection activeCell="D25" sqref="D25"/>
    </sheetView>
  </sheetViews>
  <sheetFormatPr baseColWidth="10" defaultRowHeight="16" x14ac:dyDescent="0.2"/>
  <cols>
    <col min="1" max="1" width="18.5" customWidth="1"/>
    <col min="2" max="2" width="16.33203125" customWidth="1"/>
    <col min="3" max="3" width="17.6640625" customWidth="1"/>
    <col min="4" max="4" width="15.5" customWidth="1"/>
    <col min="6" max="6" width="14.5" customWidth="1"/>
    <col min="7" max="7" width="13.33203125" customWidth="1"/>
    <col min="8" max="8" width="15.83203125" customWidth="1"/>
    <col min="9" max="9" width="13.83203125" customWidth="1"/>
    <col min="11" max="11" width="14.33203125" customWidth="1"/>
    <col min="12" max="12" width="13.83203125" customWidth="1"/>
  </cols>
  <sheetData>
    <row r="1" spans="1:14" s="3" customFormat="1" x14ac:dyDescent="0.2">
      <c r="A1" s="3" t="s">
        <v>0</v>
      </c>
      <c r="B1" s="3" t="s">
        <v>28</v>
      </c>
      <c r="C1" s="3" t="s">
        <v>29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27</v>
      </c>
      <c r="K1" s="3" t="s">
        <v>9</v>
      </c>
      <c r="L1" s="3" t="s">
        <v>10</v>
      </c>
      <c r="M1" s="3" t="s">
        <v>7</v>
      </c>
      <c r="N1" s="3" t="s">
        <v>8</v>
      </c>
    </row>
    <row r="2" spans="1:14" x14ac:dyDescent="0.2">
      <c r="A2" s="1" t="s">
        <v>11</v>
      </c>
      <c r="B2" s="10">
        <v>44.637471033116498</v>
      </c>
      <c r="C2" s="10">
        <v>-63.587524825879399</v>
      </c>
      <c r="D2" t="s">
        <v>12</v>
      </c>
      <c r="E2">
        <v>61</v>
      </c>
      <c r="F2">
        <v>7.8933334000000004</v>
      </c>
      <c r="G2">
        <v>6.2555559999999996E-2</v>
      </c>
      <c r="H2">
        <v>3</v>
      </c>
      <c r="I2">
        <v>7</v>
      </c>
      <c r="J2">
        <v>2</v>
      </c>
      <c r="K2">
        <v>3</v>
      </c>
      <c r="L2">
        <v>1</v>
      </c>
      <c r="M2">
        <v>9</v>
      </c>
      <c r="N2">
        <v>47</v>
      </c>
    </row>
    <row r="3" spans="1:14" x14ac:dyDescent="0.2">
      <c r="A3" s="1" t="s">
        <v>13</v>
      </c>
      <c r="B3" s="10">
        <v>44.636966463325102</v>
      </c>
      <c r="C3" s="10">
        <v>-63.589197667148198</v>
      </c>
      <c r="D3" t="s">
        <v>14</v>
      </c>
      <c r="E3">
        <v>61</v>
      </c>
      <c r="F3">
        <v>19.748332999999999</v>
      </c>
      <c r="G3">
        <v>0.12286111</v>
      </c>
      <c r="H3">
        <v>6</v>
      </c>
      <c r="I3">
        <v>14</v>
      </c>
      <c r="J3">
        <v>1</v>
      </c>
      <c r="K3">
        <v>7</v>
      </c>
      <c r="L3">
        <v>5</v>
      </c>
      <c r="M3">
        <v>62</v>
      </c>
      <c r="N3">
        <v>62</v>
      </c>
    </row>
    <row r="4" spans="1:14" x14ac:dyDescent="0.2">
      <c r="A4" s="1" t="s">
        <v>15</v>
      </c>
      <c r="B4" s="10">
        <v>44.634743259917101</v>
      </c>
      <c r="C4" s="10">
        <v>-63.591764996843203</v>
      </c>
      <c r="D4" t="s">
        <v>16</v>
      </c>
      <c r="E4">
        <v>61</v>
      </c>
      <c r="F4">
        <v>10.715</v>
      </c>
      <c r="G4">
        <v>5.6111109999999999E-2</v>
      </c>
      <c r="H4">
        <v>2</v>
      </c>
      <c r="I4">
        <v>5</v>
      </c>
      <c r="J4">
        <v>3</v>
      </c>
      <c r="K4">
        <v>1</v>
      </c>
      <c r="L4">
        <v>1</v>
      </c>
      <c r="M4">
        <v>23</v>
      </c>
      <c r="N4">
        <v>66</v>
      </c>
    </row>
    <row r="5" spans="1:14" x14ac:dyDescent="0.2">
      <c r="A5" s="1" t="s">
        <v>17</v>
      </c>
      <c r="B5" s="10">
        <v>44.636205298506901</v>
      </c>
      <c r="C5" s="10">
        <v>-63.594092177057398</v>
      </c>
      <c r="D5" t="s">
        <v>18</v>
      </c>
      <c r="E5">
        <v>122</v>
      </c>
      <c r="F5">
        <v>7.6216670000000004</v>
      </c>
      <c r="G5">
        <v>6.4083340000000003E-2</v>
      </c>
      <c r="H5">
        <v>2</v>
      </c>
      <c r="I5">
        <v>8</v>
      </c>
      <c r="J5">
        <v>4</v>
      </c>
      <c r="K5">
        <v>2</v>
      </c>
      <c r="L5">
        <v>1</v>
      </c>
      <c r="M5">
        <v>2</v>
      </c>
      <c r="N5">
        <v>79</v>
      </c>
    </row>
    <row r="6" spans="1:14" s="6" customFormat="1" x14ac:dyDescent="0.2">
      <c r="A6" s="5" t="s">
        <v>20</v>
      </c>
      <c r="B6" s="11">
        <v>44.639196057496001</v>
      </c>
      <c r="C6" s="11">
        <v>-63.582873032664601</v>
      </c>
      <c r="D6" s="6" t="s">
        <v>19</v>
      </c>
      <c r="E6" s="6">
        <v>61</v>
      </c>
      <c r="F6" s="6" t="s">
        <v>26</v>
      </c>
      <c r="G6" s="6">
        <v>2.8055554E-2</v>
      </c>
      <c r="H6" s="6">
        <v>1</v>
      </c>
      <c r="I6" s="6" t="s">
        <v>26</v>
      </c>
      <c r="J6" s="6" t="s">
        <v>26</v>
      </c>
      <c r="K6" s="6" t="s">
        <v>26</v>
      </c>
      <c r="L6" s="6" t="s">
        <v>26</v>
      </c>
      <c r="M6" s="6">
        <v>41</v>
      </c>
      <c r="N6" s="6">
        <v>41</v>
      </c>
    </row>
    <row r="7" spans="1:14" s="8" customFormat="1" x14ac:dyDescent="0.2"/>
    <row r="8" spans="1:14" x14ac:dyDescent="0.2">
      <c r="A8" s="1" t="s">
        <v>21</v>
      </c>
      <c r="B8" s="10">
        <v>44.637471033116498</v>
      </c>
      <c r="C8" s="10">
        <v>-63.587524825879399</v>
      </c>
      <c r="D8" t="s">
        <v>12</v>
      </c>
      <c r="E8">
        <v>6844</v>
      </c>
      <c r="F8">
        <v>2.0033333</v>
      </c>
      <c r="G8">
        <v>5.9859166000000004</v>
      </c>
      <c r="H8">
        <v>447</v>
      </c>
      <c r="I8">
        <v>665</v>
      </c>
      <c r="J8">
        <v>156</v>
      </c>
      <c r="K8">
        <v>400</v>
      </c>
      <c r="L8">
        <v>64</v>
      </c>
      <c r="M8">
        <v>18</v>
      </c>
      <c r="N8">
        <v>51</v>
      </c>
    </row>
    <row r="9" spans="1:14" x14ac:dyDescent="0.2">
      <c r="A9" s="1" t="s">
        <v>22</v>
      </c>
      <c r="B9" s="10">
        <v>44.636966463325102</v>
      </c>
      <c r="C9" s="10">
        <v>-63.589197667148198</v>
      </c>
      <c r="D9" t="s">
        <v>14</v>
      </c>
      <c r="E9">
        <v>6902</v>
      </c>
      <c r="F9">
        <v>4.1399999999999997</v>
      </c>
      <c r="G9">
        <v>5.2986665000000004</v>
      </c>
      <c r="H9">
        <v>409</v>
      </c>
      <c r="I9">
        <v>1036</v>
      </c>
      <c r="J9">
        <v>132</v>
      </c>
      <c r="K9">
        <v>406</v>
      </c>
      <c r="L9">
        <v>399</v>
      </c>
      <c r="M9">
        <v>70</v>
      </c>
      <c r="N9">
        <v>70</v>
      </c>
    </row>
    <row r="10" spans="1:14" x14ac:dyDescent="0.2">
      <c r="A10" s="1" t="s">
        <v>23</v>
      </c>
      <c r="B10" s="10">
        <v>44.634743259917101</v>
      </c>
      <c r="C10" s="10">
        <v>-63.591764996843203</v>
      </c>
      <c r="D10" t="s">
        <v>16</v>
      </c>
      <c r="E10">
        <v>6662</v>
      </c>
      <c r="F10">
        <v>2.0033333</v>
      </c>
      <c r="G10">
        <v>1.7945001</v>
      </c>
      <c r="H10">
        <v>155</v>
      </c>
      <c r="I10">
        <v>812</v>
      </c>
      <c r="J10">
        <v>70</v>
      </c>
      <c r="K10">
        <v>267</v>
      </c>
      <c r="L10">
        <v>133</v>
      </c>
      <c r="M10">
        <v>24</v>
      </c>
      <c r="N10">
        <v>66</v>
      </c>
    </row>
    <row r="11" spans="1:14" x14ac:dyDescent="0.2">
      <c r="A11" s="1" t="s">
        <v>24</v>
      </c>
      <c r="B11" s="10">
        <v>44.636205298506901</v>
      </c>
      <c r="C11" s="10">
        <v>-63.594092177057398</v>
      </c>
      <c r="D11" t="s">
        <v>18</v>
      </c>
      <c r="E11">
        <v>6784</v>
      </c>
      <c r="F11">
        <v>7.5516662999999999</v>
      </c>
      <c r="G11">
        <v>4.1583332999999998</v>
      </c>
      <c r="H11">
        <v>386</v>
      </c>
      <c r="I11">
        <v>832</v>
      </c>
      <c r="J11">
        <v>95</v>
      </c>
      <c r="K11">
        <v>261</v>
      </c>
      <c r="L11">
        <v>385</v>
      </c>
      <c r="M11">
        <v>24</v>
      </c>
      <c r="N11">
        <v>79</v>
      </c>
    </row>
    <row r="12" spans="1:14" s="6" customFormat="1" x14ac:dyDescent="0.2">
      <c r="A12" s="5" t="s">
        <v>25</v>
      </c>
      <c r="B12" s="11">
        <v>44.639196057496001</v>
      </c>
      <c r="C12" s="11">
        <v>-63.582873032664601</v>
      </c>
      <c r="D12" s="6" t="s">
        <v>19</v>
      </c>
      <c r="E12" s="6">
        <v>6242</v>
      </c>
      <c r="F12" s="6" t="s">
        <v>26</v>
      </c>
      <c r="G12" s="6">
        <v>2.8833332999999999E-2</v>
      </c>
      <c r="H12" s="6">
        <v>3</v>
      </c>
      <c r="I12" s="6" t="s">
        <v>26</v>
      </c>
      <c r="J12" s="6" t="s">
        <v>26</v>
      </c>
      <c r="K12" s="6" t="s">
        <v>26</v>
      </c>
      <c r="L12" s="6" t="s">
        <v>26</v>
      </c>
      <c r="M12" s="6">
        <v>41</v>
      </c>
      <c r="N12" s="6">
        <v>41</v>
      </c>
    </row>
    <row r="13" spans="1:14" s="8" customFormat="1" x14ac:dyDescent="0.2"/>
    <row r="14" spans="1:14" s="7" customFormat="1" x14ac:dyDescent="0.2">
      <c r="A14" s="2"/>
      <c r="B14" s="10">
        <v>44.637471033116498</v>
      </c>
      <c r="C14" s="10">
        <v>-63.587524825879399</v>
      </c>
      <c r="D14" t="s">
        <v>12</v>
      </c>
      <c r="E14" s="7">
        <f>E8-E2</f>
        <v>6783</v>
      </c>
      <c r="F14" s="2"/>
      <c r="G14" s="7">
        <f>G8-G2</f>
        <v>5.9233610400000005</v>
      </c>
      <c r="H14" s="7">
        <f>H8-H2</f>
        <v>444</v>
      </c>
      <c r="I14" s="7">
        <f>I8-I2</f>
        <v>658</v>
      </c>
      <c r="J14" s="7">
        <f>J8-J2</f>
        <v>154</v>
      </c>
      <c r="K14" s="7">
        <f>K8-K2</f>
        <v>397</v>
      </c>
      <c r="L14" s="7">
        <f>L8-L2</f>
        <v>63</v>
      </c>
      <c r="M14" s="7">
        <f>M8-M2</f>
        <v>9</v>
      </c>
      <c r="N14" s="7">
        <f>N8-N2</f>
        <v>4</v>
      </c>
    </row>
    <row r="15" spans="1:14" x14ac:dyDescent="0.2">
      <c r="A15" s="4"/>
      <c r="B15" s="10">
        <v>44.636966463325102</v>
      </c>
      <c r="C15" s="10">
        <v>-63.589197667148198</v>
      </c>
      <c r="D15" t="s">
        <v>14</v>
      </c>
      <c r="E15">
        <f>E9-E3</f>
        <v>6841</v>
      </c>
      <c r="F15" s="2"/>
      <c r="G15" s="7">
        <f>G9-G3</f>
        <v>5.1758053900000007</v>
      </c>
      <c r="H15" s="7">
        <f>H9-H3</f>
        <v>403</v>
      </c>
      <c r="I15" s="7">
        <f t="shared" ref="I15:N15" si="0">I9-I3</f>
        <v>1022</v>
      </c>
      <c r="J15" s="7">
        <f t="shared" si="0"/>
        <v>131</v>
      </c>
      <c r="K15" s="7">
        <f t="shared" si="0"/>
        <v>399</v>
      </c>
      <c r="L15" s="7">
        <f t="shared" si="0"/>
        <v>394</v>
      </c>
      <c r="M15" s="7">
        <f t="shared" si="0"/>
        <v>8</v>
      </c>
      <c r="N15" s="7">
        <f t="shared" si="0"/>
        <v>8</v>
      </c>
    </row>
    <row r="16" spans="1:14" x14ac:dyDescent="0.2">
      <c r="A16" s="2"/>
      <c r="B16" s="10">
        <v>44.634743259917101</v>
      </c>
      <c r="C16" s="10">
        <v>-63.591764996843203</v>
      </c>
      <c r="D16" t="s">
        <v>16</v>
      </c>
      <c r="E16">
        <f>E10-E4</f>
        <v>6601</v>
      </c>
      <c r="F16" s="2"/>
      <c r="G16" s="7">
        <f>G10-G4</f>
        <v>1.73838899</v>
      </c>
      <c r="H16" s="7">
        <f>H10-H4</f>
        <v>153</v>
      </c>
      <c r="I16" s="7">
        <f t="shared" ref="I16:N16" si="1">I10-I4</f>
        <v>807</v>
      </c>
      <c r="J16" s="7">
        <f t="shared" si="1"/>
        <v>67</v>
      </c>
      <c r="K16" s="7">
        <f t="shared" si="1"/>
        <v>266</v>
      </c>
      <c r="L16" s="7">
        <f t="shared" si="1"/>
        <v>132</v>
      </c>
      <c r="M16" s="7">
        <f t="shared" si="1"/>
        <v>1</v>
      </c>
      <c r="N16" s="7">
        <f t="shared" si="1"/>
        <v>0</v>
      </c>
    </row>
    <row r="17" spans="1:14" x14ac:dyDescent="0.2">
      <c r="A17" s="2"/>
      <c r="B17" s="10">
        <v>44.636205298506901</v>
      </c>
      <c r="C17" s="10">
        <v>-63.594092177057398</v>
      </c>
      <c r="D17" t="s">
        <v>18</v>
      </c>
      <c r="E17" s="7">
        <f>E11-E5</f>
        <v>6662</v>
      </c>
      <c r="F17" s="9"/>
      <c r="G17" s="7">
        <f>G11-G5</f>
        <v>4.09424996</v>
      </c>
      <c r="H17" s="7">
        <f>H11-H5</f>
        <v>384</v>
      </c>
      <c r="I17" s="7">
        <f t="shared" ref="I17:N17" si="2">I11-I5</f>
        <v>824</v>
      </c>
      <c r="J17" s="7">
        <f t="shared" si="2"/>
        <v>91</v>
      </c>
      <c r="K17" s="7">
        <f t="shared" si="2"/>
        <v>259</v>
      </c>
      <c r="L17" s="7">
        <f t="shared" si="2"/>
        <v>384</v>
      </c>
      <c r="M17" s="7">
        <f t="shared" si="2"/>
        <v>22</v>
      </c>
      <c r="N17" s="7">
        <f t="shared" si="2"/>
        <v>0</v>
      </c>
    </row>
    <row r="18" spans="1:14" s="6" customFormat="1" x14ac:dyDescent="0.2">
      <c r="A18" s="2"/>
      <c r="B18" s="11">
        <v>44.639196057496001</v>
      </c>
      <c r="C18" s="11">
        <v>-63.582873032664601</v>
      </c>
      <c r="D18" s="6" t="s">
        <v>19</v>
      </c>
      <c r="E18" s="6">
        <f>E12-E6</f>
        <v>6181</v>
      </c>
      <c r="F18" s="2"/>
      <c r="G18" s="6">
        <f>G12-G6</f>
        <v>7.7777899999999928E-4</v>
      </c>
      <c r="H18" s="6">
        <f>H12-H6</f>
        <v>2</v>
      </c>
      <c r="I18" s="6" t="s">
        <v>26</v>
      </c>
      <c r="J18" s="6" t="s">
        <v>26</v>
      </c>
      <c r="K18" s="6" t="s">
        <v>26</v>
      </c>
      <c r="L18" s="6" t="s">
        <v>26</v>
      </c>
      <c r="M18" s="6">
        <f t="shared" ref="M18:N18" si="3">M12-M6</f>
        <v>0</v>
      </c>
      <c r="N18" s="6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Retransmission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Earle</dc:creator>
  <cp:lastModifiedBy>Jonathan Earle</cp:lastModifiedBy>
  <dcterms:created xsi:type="dcterms:W3CDTF">2026-06-24T17:18:55Z</dcterms:created>
  <dcterms:modified xsi:type="dcterms:W3CDTF">2026-06-24T18:14:44Z</dcterms:modified>
</cp:coreProperties>
</file>