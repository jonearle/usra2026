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PlexToGB/"/>
    </mc:Choice>
  </mc:AlternateContent>
  <xr:revisionPtr revIDLastSave="0" documentId="13_ncr:1_{5EA48FE6-F70F-2E46-B163-A8C5A81635CD}" xr6:coauthVersionLast="47" xr6:coauthVersionMax="47" xr10:uidLastSave="{00000000-0000-0000-0000-000000000000}"/>
  <bookViews>
    <workbookView xWindow="780" yWindow="1000" windowWidth="27640" windowHeight="16440" xr2:uid="{7BF87952-EAF1-3342-A433-EE12F1C9EE04}"/>
  </bookViews>
  <sheets>
    <sheet name="all" sheetId="1" r:id="rId1"/>
    <sheet name="Final 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3" i="2" a="1"/>
  <c r="D3" i="2" s="1"/>
  <c r="E3" i="2" s="1"/>
  <c r="C3" i="2"/>
  <c r="T5" i="1"/>
  <c r="T4" i="1"/>
  <c r="T3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2" i="1"/>
  <c r="B3" i="2"/>
  <c r="D2" i="2" a="1"/>
  <c r="D2" i="2" s="1"/>
  <c r="C2" i="2"/>
  <c r="B2" i="2"/>
  <c r="C34" i="1" a="1"/>
  <c r="C34" i="1" s="1"/>
  <c r="D34" i="1" s="1"/>
  <c r="B34" i="1"/>
  <c r="A34" i="1"/>
  <c r="G2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4" i="1"/>
  <c r="G3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<sst xmlns="http://schemas.openxmlformats.org/spreadsheetml/2006/main" count="341" uniqueCount="325">
  <si>
    <t>1782221159.9821088</t>
  </si>
  <si>
    <t>1782221221.1092665</t>
  </si>
  <si>
    <t>1782221287.2066689</t>
  </si>
  <si>
    <t>1782221355.2040308</t>
  </si>
  <si>
    <t>1782221460.246621</t>
  </si>
  <si>
    <t>1782221520.638365</t>
  </si>
  <si>
    <t>1782221641.8204472</t>
  </si>
  <si>
    <t>1782221700.8129692</t>
  </si>
  <si>
    <t>1782221820.9275692</t>
  </si>
  <si>
    <t>1782221888.2281592</t>
  </si>
  <si>
    <t>1782221941.5256727</t>
  </si>
  <si>
    <t>1782222008.6364768</t>
  </si>
  <si>
    <t>1782222061.6838467</t>
  </si>
  <si>
    <t>1782222136.1432984</t>
  </si>
  <si>
    <t>1782222189.0014262</t>
  </si>
  <si>
    <t>1782222549.4673004</t>
  </si>
  <si>
    <t>1782222616.636571</t>
  </si>
  <si>
    <t>1782222662.611674</t>
  </si>
  <si>
    <t>1782222782.8278298</t>
  </si>
  <si>
    <t>1782222842.8819034</t>
  </si>
  <si>
    <t>1782223143.3792925</t>
  </si>
  <si>
    <t>1782223331.740758</t>
  </si>
  <si>
    <t>1782223505.6866405</t>
  </si>
  <si>
    <t>1782223811.8402867</t>
  </si>
  <si>
    <t>1782223864.8105066</t>
  </si>
  <si>
    <t>1782223999.7891912</t>
  </si>
  <si>
    <t>1782224292.7444775</t>
  </si>
  <si>
    <t>1782224420.3221204</t>
  </si>
  <si>
    <t>1782224540.7139227</t>
  </si>
  <si>
    <t>1782147249.237996</t>
  </si>
  <si>
    <t>1782147254.155906</t>
  </si>
  <si>
    <t>1782147259.203906</t>
  </si>
  <si>
    <t>1782147264.2968268</t>
  </si>
  <si>
    <t>1782147269.315107</t>
  </si>
  <si>
    <t>1782147274.5624871</t>
  </si>
  <si>
    <t>1782147284.652218</t>
  </si>
  <si>
    <t>1782147289.978676</t>
  </si>
  <si>
    <t>1782149112.6562638</t>
  </si>
  <si>
    <t>1782149115.4443672</t>
  </si>
  <si>
    <t>1782149167.4398808</t>
  </si>
  <si>
    <t>1782149175.299102</t>
  </si>
  <si>
    <t>1782149185.3746612</t>
  </si>
  <si>
    <t>1782149187.4433799</t>
  </si>
  <si>
    <t>1782149191.0130088</t>
  </si>
  <si>
    <t>1782149194.9885151</t>
  </si>
  <si>
    <t>1782149197.528825</t>
  </si>
  <si>
    <t>1782149211.873712</t>
  </si>
  <si>
    <t>1782149233.2025669</t>
  </si>
  <si>
    <t>1782149531.874839</t>
  </si>
  <si>
    <t>1782149543.9179919</t>
  </si>
  <si>
    <t>1782149548.373067</t>
  </si>
  <si>
    <t>1782149552.405238</t>
  </si>
  <si>
    <t>1782149568.8569658</t>
  </si>
  <si>
    <t>1782149570.445656</t>
  </si>
  <si>
    <t>1782149581.5760121</t>
  </si>
  <si>
    <t>1782149586.060395</t>
  </si>
  <si>
    <t>1782149589.1770291</t>
  </si>
  <si>
    <t>1782149591.049441</t>
  </si>
  <si>
    <t>1782149607.9300091</t>
  </si>
  <si>
    <t>1782149614.461735</t>
  </si>
  <si>
    <t>1782149626.526565</t>
  </si>
  <si>
    <t>1782149629.572354</t>
  </si>
  <si>
    <t>1782149635.2712379</t>
  </si>
  <si>
    <t>1782149657.3317518</t>
  </si>
  <si>
    <t>1782149662.010369</t>
  </si>
  <si>
    <t>1782149686.387064</t>
  </si>
  <si>
    <t>1782149839.070962</t>
  </si>
  <si>
    <t>1782149849.188823</t>
  </si>
  <si>
    <t>1782149879.957263</t>
  </si>
  <si>
    <t>1782149881.067826</t>
  </si>
  <si>
    <t>1782149882.772944</t>
  </si>
  <si>
    <t>1782149905.200808</t>
  </si>
  <si>
    <t>1782149911.269206</t>
  </si>
  <si>
    <t>1782149913.579372</t>
  </si>
  <si>
    <t>1782149917.112384</t>
  </si>
  <si>
    <t>1782149920.112479</t>
  </si>
  <si>
    <t>1782149923.663811</t>
  </si>
  <si>
    <t>1782149940.377982</t>
  </si>
  <si>
    <t>1782149944.054116</t>
  </si>
  <si>
    <t>1782149947.696531</t>
  </si>
  <si>
    <t>1782149963.492747</t>
  </si>
  <si>
    <t>1782149980.361952</t>
  </si>
  <si>
    <t>1782150004.3278341</t>
  </si>
  <si>
    <t>1782150006.991632</t>
  </si>
  <si>
    <t>1782150009.088874</t>
  </si>
  <si>
    <t>1782150012.743962</t>
  </si>
  <si>
    <t>1782150020.882901</t>
  </si>
  <si>
    <t>1782150023.846824</t>
  </si>
  <si>
    <t>1782150030.172805</t>
  </si>
  <si>
    <t>1782150033.4233139</t>
  </si>
  <si>
    <t>1782150034.453244</t>
  </si>
  <si>
    <t>1782150040.168697</t>
  </si>
  <si>
    <t>1782150051.160645</t>
  </si>
  <si>
    <t>1782150056.779505</t>
  </si>
  <si>
    <t>1782150058.069428</t>
  </si>
  <si>
    <t>1782150067.505478</t>
  </si>
  <si>
    <t>1782150071.8026738</t>
  </si>
  <si>
    <t>1782150074.1917188</t>
  </si>
  <si>
    <t>1782150076.909854</t>
  </si>
  <si>
    <t>1782150079.842968</t>
  </si>
  <si>
    <t>1782150083.758204</t>
  </si>
  <si>
    <t>1782150084.445626</t>
  </si>
  <si>
    <t>1782150096.209298</t>
  </si>
  <si>
    <t>1782150100.053231</t>
  </si>
  <si>
    <t>1782150106.2002199</t>
  </si>
  <si>
    <t>1782150109.7974699</t>
  </si>
  <si>
    <t>1782150116.1202838</t>
  </si>
  <si>
    <t>1782150117.5911272</t>
  </si>
  <si>
    <t>1782150120.002582</t>
  </si>
  <si>
    <t>1782150121.9187999</t>
  </si>
  <si>
    <t>1782150130.179939</t>
  </si>
  <si>
    <t>1782150133.747496</t>
  </si>
  <si>
    <t>1782150137.632888</t>
  </si>
  <si>
    <t>1782150152.068565</t>
  </si>
  <si>
    <t>1782150162.1101398</t>
  </si>
  <si>
    <t>1782150163.9297578</t>
  </si>
  <si>
    <t>1782150167.632292</t>
  </si>
  <si>
    <t>1782150173.774517</t>
  </si>
  <si>
    <t>1782150174.727674</t>
  </si>
  <si>
    <t>1782150182.290088</t>
  </si>
  <si>
    <t>1782150187.037971</t>
  </si>
  <si>
    <t>1782150189.4086962</t>
  </si>
  <si>
    <t>1782217172.619736</t>
  </si>
  <si>
    <t>1782217229.071552</t>
  </si>
  <si>
    <t>1782217231.9494898</t>
  </si>
  <si>
    <t>1782217289.3311958</t>
  </si>
  <si>
    <t>1782217291.821974</t>
  </si>
  <si>
    <t>1782217356.518823</t>
  </si>
  <si>
    <t>1782217359.1896162</t>
  </si>
  <si>
    <t>1782217409.5785348</t>
  </si>
  <si>
    <t>1782217469.5103219</t>
  </si>
  <si>
    <t>1782217472.117717</t>
  </si>
  <si>
    <t>1782217529.748328</t>
  </si>
  <si>
    <t>1782217532.114111</t>
  </si>
  <si>
    <t>1782217589.620873</t>
  </si>
  <si>
    <t>1782217593.1568232</t>
  </si>
  <si>
    <t>1782217649.8648682</t>
  </si>
  <si>
    <t>1782217770.1730208</t>
  </si>
  <si>
    <t>1782217774.4752781</t>
  </si>
  <si>
    <t>1782217830.0631301</t>
  </si>
  <si>
    <t>1782217891.0773602</t>
  </si>
  <si>
    <t>1782217950.4662669</t>
  </si>
  <si>
    <t>1782217952.997376</t>
  </si>
  <si>
    <t>1782218017.689475</t>
  </si>
  <si>
    <t>1782218021.315799</t>
  </si>
  <si>
    <t>1782218130.660876</t>
  </si>
  <si>
    <t>1782218197.9324028</t>
  </si>
  <si>
    <t>1782218200.434185</t>
  </si>
  <si>
    <t>1782218250.7319438</t>
  </si>
  <si>
    <t>1782218254.056912</t>
  </si>
  <si>
    <t>1782218385.649079</t>
  </si>
  <si>
    <t>1782218431.0898361</t>
  </si>
  <si>
    <t>1782218551.3423748</t>
  </si>
  <si>
    <t>1782218554.263131</t>
  </si>
  <si>
    <t>1782218686.289185</t>
  </si>
  <si>
    <t>1782218746.397982</t>
  </si>
  <si>
    <t>1782218806.381904</t>
  </si>
  <si>
    <t>1782218808.794261</t>
  </si>
  <si>
    <t>1782218852.0180302</t>
  </si>
  <si>
    <t>1782218854.974135</t>
  </si>
  <si>
    <t>1782218922.0296352</t>
  </si>
  <si>
    <t>1782219046.7622159</t>
  </si>
  <si>
    <t>1782219049.7955241</t>
  </si>
  <si>
    <t>1782219152.452706</t>
  </si>
  <si>
    <t>1782219212.819191</t>
  </si>
  <si>
    <t>1782219216.461239</t>
  </si>
  <si>
    <t>1782219279.993258</t>
  </si>
  <si>
    <t>1782219283.6526191</t>
  </si>
  <si>
    <t>1782219392.9078321</t>
  </si>
  <si>
    <t>1782219395.8231292</t>
  </si>
  <si>
    <t>1782219573.375923</t>
  </si>
  <si>
    <t>1782219693.355711</t>
  </si>
  <si>
    <t>1782219695.8461251</t>
  </si>
  <si>
    <t>1782219753.693776</t>
  </si>
  <si>
    <t>1782219756.351562</t>
  </si>
  <si>
    <t>1782219873.920442</t>
  </si>
  <si>
    <t>1782219941.211313</t>
  </si>
  <si>
    <t>1782220191.4425092</t>
  </si>
  <si>
    <t>1782220354.8193269</t>
  </si>
  <si>
    <t>1782220357.905612</t>
  </si>
  <si>
    <t>1782220422.367876</t>
  </si>
  <si>
    <t>1782220542.4719832</t>
  </si>
  <si>
    <t>1782220544.8156018</t>
  </si>
  <si>
    <t>1782220665.161549</t>
  </si>
  <si>
    <t>1782221159.6697369</t>
  </si>
  <si>
    <t>1782221220.8042529</t>
  </si>
  <si>
    <t>1782221286.8979368</t>
  </si>
  <si>
    <t>1782221358.351883</t>
  </si>
  <si>
    <t>1782221399.945411</t>
  </si>
  <si>
    <t>1782221459.927216</t>
  </si>
  <si>
    <t>1782221520.3214989</t>
  </si>
  <si>
    <t>1782221523.359346</t>
  </si>
  <si>
    <t>1782221640.189263</t>
  </si>
  <si>
    <t>1782221645.760468</t>
  </si>
  <si>
    <t>1782221702.9014359</t>
  </si>
  <si>
    <t>1782221820.532706</t>
  </si>
  <si>
    <t>1782221823.5364811</t>
  </si>
  <si>
    <t>1782221887.8419561</t>
  </si>
  <si>
    <t>1782221890.503833</t>
  </si>
  <si>
    <t>1782221941.126789</t>
  </si>
  <si>
    <t>1782221943.7273998</t>
  </si>
  <si>
    <t>1782222008.2601442</t>
  </si>
  <si>
    <t>1782222061.294912</t>
  </si>
  <si>
    <t>1782222063.8730502</t>
  </si>
  <si>
    <t>1782222135.768712</t>
  </si>
  <si>
    <t>1782222138.290422</t>
  </si>
  <si>
    <t>1782222188.617963</t>
  </si>
  <si>
    <t>1782222241.3856819</t>
  </si>
  <si>
    <t>1782222301.487819</t>
  </si>
  <si>
    <t>1782222361.603014</t>
  </si>
  <si>
    <t>1782222371.510794</t>
  </si>
  <si>
    <t>1782222559.5403368</t>
  </si>
  <si>
    <t>1782222616.268964</t>
  </si>
  <si>
    <t>1782222664.839945</t>
  </si>
  <si>
    <t>1782222784.840788</t>
  </si>
  <si>
    <t>1782222902.623519</t>
  </si>
  <si>
    <t>1782222962.673474</t>
  </si>
  <si>
    <t>1782223029.988041</t>
  </si>
  <si>
    <t>1782223097.452385</t>
  </si>
  <si>
    <t>1782223142.9417138</t>
  </si>
  <si>
    <t>1782223263.360853</t>
  </si>
  <si>
    <t>1782223507.679662</t>
  </si>
  <si>
    <t>1782223683.981376</t>
  </si>
  <si>
    <t>1782223811.395211</t>
  </si>
  <si>
    <t>1782223864.356409</t>
  </si>
  <si>
    <t>1782223866.939251</t>
  </si>
  <si>
    <t>1782223999.342295</t>
  </si>
  <si>
    <t>1782224295.9263282</t>
  </si>
  <si>
    <t>1782224540.2721229</t>
  </si>
  <si>
    <t>1782224557.7522628</t>
  </si>
  <si>
    <t>localID</t>
  </si>
  <si>
    <t>sendTime</t>
  </si>
  <si>
    <t>packetId</t>
  </si>
  <si>
    <t>receivedTime</t>
  </si>
  <si>
    <t>SNR</t>
  </si>
  <si>
    <t>RSSI</t>
  </si>
  <si>
    <t>1782148663.2705617</t>
  </si>
  <si>
    <t>1782148753.9836016</t>
  </si>
  <si>
    <t>1782148830.521332</t>
  </si>
  <si>
    <t>1782148866.407771</t>
  </si>
  <si>
    <t>1782148882.9841857</t>
  </si>
  <si>
    <t>1782148893.196316</t>
  </si>
  <si>
    <t>1782148952.541319</t>
  </si>
  <si>
    <t>1782148963.618582</t>
  </si>
  <si>
    <t>1782148970.1675932</t>
  </si>
  <si>
    <t>1782148990.2816827</t>
  </si>
  <si>
    <t>1782149112.9570706</t>
  </si>
  <si>
    <t>1782149185.6303427</t>
  </si>
  <si>
    <t>1782149189.0686176</t>
  </si>
  <si>
    <t>1782149195.2932267</t>
  </si>
  <si>
    <t>1782149202.4927642</t>
  </si>
  <si>
    <t>1782149258.0576057</t>
  </si>
  <si>
    <t>1782149270.0427184</t>
  </si>
  <si>
    <t>1782149383.7143095</t>
  </si>
  <si>
    <t>1782149532.1743305</t>
  </si>
  <si>
    <t>1782149533.410504</t>
  </si>
  <si>
    <t>1782149548.6720688</t>
  </si>
  <si>
    <t>1782149558.8464105</t>
  </si>
  <si>
    <t>1782149569.1566632</t>
  </si>
  <si>
    <t>1782149571.8314078</t>
  </si>
  <si>
    <t>1782149586.0796862</t>
  </si>
  <si>
    <t>1782149605.1455486</t>
  </si>
  <si>
    <t>1782149626.5938609</t>
  </si>
  <si>
    <t>1782149635.5909226</t>
  </si>
  <si>
    <t>1782149657.4102714</t>
  </si>
  <si>
    <t>1782149662.3347805</t>
  </si>
  <si>
    <t>1782149686.369043</t>
  </si>
  <si>
    <t>1782149711.4028258</t>
  </si>
  <si>
    <t>1782149725.023279</t>
  </si>
  <si>
    <t>1782149742.8126848</t>
  </si>
  <si>
    <t>1782149814.7414372</t>
  </si>
  <si>
    <t>1782149834.0405805</t>
  </si>
  <si>
    <t>1782149839.3932524</t>
  </si>
  <si>
    <t>1782149846.3551116</t>
  </si>
  <si>
    <t>1782149868.7771063</t>
  </si>
  <si>
    <t>1782149880.0351863</t>
  </si>
  <si>
    <t>1782149911.5940366</t>
  </si>
  <si>
    <t>1782149917.434926</t>
  </si>
  <si>
    <t>1782149922.690771</t>
  </si>
  <si>
    <t>1782149924.0090985</t>
  </si>
  <si>
    <t>1782149931.6344779</t>
  </si>
  <si>
    <t>1782149932.4331412</t>
  </si>
  <si>
    <t>1782149944.377624</t>
  </si>
  <si>
    <t>1782149963.8175972</t>
  </si>
  <si>
    <t>1782149988.6452026</t>
  </si>
  <si>
    <t>1782149994.3852339</t>
  </si>
  <si>
    <t>1782149997.7218423</t>
  </si>
  <si>
    <t>1782150009.4119692</t>
  </si>
  <si>
    <t>1782150019.9307313</t>
  </si>
  <si>
    <t>1782150021.186768</t>
  </si>
  <si>
    <t>1782150029.3157003</t>
  </si>
  <si>
    <t>1782150040.4916399</t>
  </si>
  <si>
    <t>1782150042.9117122</t>
  </si>
  <si>
    <t>1782150051.2313244</t>
  </si>
  <si>
    <t>1782150058.3956835</t>
  </si>
  <si>
    <t>1782150067.6432042</t>
  </si>
  <si>
    <t>1782150072.3517227</t>
  </si>
  <si>
    <t>1782150084.0809267</t>
  </si>
  <si>
    <t>1782150089.7619367</t>
  </si>
  <si>
    <t>1782150096.5272274</t>
  </si>
  <si>
    <t>1782150116.4721386</t>
  </si>
  <si>
    <t>1782150117.652919</t>
  </si>
  <si>
    <t>1782150130.5006077</t>
  </si>
  <si>
    <t>1782150137.9538488</t>
  </si>
  <si>
    <t>1782150152.3915262</t>
  </si>
  <si>
    <t>1782150162.3794265</t>
  </si>
  <si>
    <t>1782150164.2365296</t>
  </si>
  <si>
    <t>1782150167.9509676</t>
  </si>
  <si>
    <t>1782150173.8530185</t>
  </si>
  <si>
    <t>1782150175.039214</t>
  </si>
  <si>
    <t>1782150182.622443</t>
  </si>
  <si>
    <t>1782150187.3617597</t>
  </si>
  <si>
    <t>1782150193.221007</t>
  </si>
  <si>
    <t>1782150194.4656115</t>
  </si>
  <si>
    <t>sendTIme</t>
  </si>
  <si>
    <t>packetID</t>
  </si>
  <si>
    <t>latency</t>
  </si>
  <si>
    <t>Avg DR</t>
  </si>
  <si>
    <t>Avg Latency (s)</t>
  </si>
  <si>
    <t>Bidirectional</t>
  </si>
  <si>
    <t>Bidirectional %</t>
  </si>
  <si>
    <t>Test Type</t>
  </si>
  <si>
    <t>1 minute</t>
  </si>
  <si>
    <t>5 second</t>
  </si>
  <si>
    <t>ACK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</si>
</sst>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18" fillId="0" borderId="0" xfId="0" applyFont="1"/>
    <xf numFmtId="0" fontId="18" fillId="0" borderId="0" xfId="0" quotePrefix="1" applyFont="1"/>
    <xf numFmtId="0" fontId="19" fillId="0" borderId="0" xfId="0" applyFont="1"/>
    <xf numFmtId="0" fontId="18" fillId="33" borderId="0" xfId="0" applyFont="1" applyFill="1"/>
    <xf numFmtId="0" fontId="18" fillId="34" borderId="0" xfId="0" applyFont="1" applyFill="1"/>
    <xf numFmtId="0" fontId="19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43AD-807E-1F4B-878F-E97B16B93ADC}">
  <dimension ref="A1:AA277"/>
  <sheetViews>
    <sheetView tabSelected="1" topLeftCell="A9" workbookViewId="0">
      <selection activeCell="C34" sqref="C34"/>
    </sheetView>
  </sheetViews>
  <sheetFormatPr baseColWidth="10" defaultRowHeight="16" x14ac:dyDescent="0.2"/>
  <cols>
    <col min="2" max="2" width="13.83203125" customWidth="1"/>
    <col min="3" max="3" width="11.83203125" customWidth="1"/>
    <col min="4" max="4" width="13.5" customWidth="1"/>
    <col min="8" max="8" width="10.83203125" style="2"/>
    <col min="13" max="13" width="10.83203125" style="3"/>
    <col min="21" max="21" width="10.83203125" style="2"/>
  </cols>
  <sheetData>
    <row r="1" spans="1:27" s="4" customFormat="1" x14ac:dyDescent="0.2">
      <c r="A1" s="4" t="s">
        <v>230</v>
      </c>
      <c r="B1" s="4" t="s">
        <v>231</v>
      </c>
      <c r="C1" s="4" t="s">
        <v>232</v>
      </c>
      <c r="D1" s="5" t="s">
        <v>233</v>
      </c>
      <c r="E1" s="4" t="s">
        <v>234</v>
      </c>
      <c r="F1" s="4" t="s">
        <v>235</v>
      </c>
      <c r="G1" s="4" t="s">
        <v>316</v>
      </c>
      <c r="H1" s="7"/>
      <c r="I1" s="4" t="s">
        <v>315</v>
      </c>
      <c r="J1" s="5" t="s">
        <v>233</v>
      </c>
      <c r="K1" s="4" t="s">
        <v>235</v>
      </c>
      <c r="L1" s="4" t="s">
        <v>234</v>
      </c>
      <c r="M1" s="8"/>
      <c r="N1" s="4" t="s">
        <v>230</v>
      </c>
      <c r="O1" s="4" t="s">
        <v>314</v>
      </c>
      <c r="P1" s="4" t="s">
        <v>232</v>
      </c>
      <c r="Q1" s="4" t="s">
        <v>233</v>
      </c>
      <c r="R1" s="5" t="s">
        <v>234</v>
      </c>
      <c r="S1" s="4" t="s">
        <v>235</v>
      </c>
      <c r="T1" s="4" t="s">
        <v>316</v>
      </c>
      <c r="U1" s="7"/>
      <c r="V1" s="4" t="s">
        <v>232</v>
      </c>
      <c r="W1" s="5" t="s">
        <v>233</v>
      </c>
      <c r="X1" s="4" t="s">
        <v>234</v>
      </c>
      <c r="Y1" s="4" t="s">
        <v>235</v>
      </c>
      <c r="AA1" s="5"/>
    </row>
    <row r="2" spans="1:27" x14ac:dyDescent="0.2">
      <c r="A2">
        <v>1</v>
      </c>
      <c r="B2">
        <v>1782221157</v>
      </c>
      <c r="C2">
        <v>3634305413</v>
      </c>
      <c r="D2" s="1" t="s">
        <v>0</v>
      </c>
      <c r="E2">
        <v>-138</v>
      </c>
      <c r="F2">
        <v>-14.75</v>
      </c>
      <c r="G2">
        <f>D2-B2</f>
        <v>2.9821000099182129</v>
      </c>
      <c r="I2">
        <v>4290356512</v>
      </c>
      <c r="J2" s="1" t="s">
        <v>122</v>
      </c>
      <c r="K2">
        <v>-140</v>
      </c>
      <c r="L2">
        <v>-16.25</v>
      </c>
      <c r="N2">
        <v>1</v>
      </c>
      <c r="O2">
        <v>1782148660.1922801</v>
      </c>
      <c r="P2">
        <v>364721244</v>
      </c>
      <c r="Q2" s="1" t="s">
        <v>236</v>
      </c>
      <c r="R2">
        <v>-128</v>
      </c>
      <c r="S2">
        <v>-5.75</v>
      </c>
      <c r="T2">
        <f>Q2-O2</f>
        <v>3.078279972076416</v>
      </c>
      <c r="V2">
        <v>961753609</v>
      </c>
      <c r="W2" s="1" t="s">
        <v>29</v>
      </c>
      <c r="X2">
        <v>-37</v>
      </c>
      <c r="Y2">
        <v>12.75</v>
      </c>
      <c r="AA2" s="1"/>
    </row>
    <row r="3" spans="1:27" x14ac:dyDescent="0.2">
      <c r="A3">
        <v>2</v>
      </c>
      <c r="B3">
        <v>1782221217</v>
      </c>
      <c r="C3">
        <v>2745722246</v>
      </c>
      <c r="D3" s="1" t="s">
        <v>1</v>
      </c>
      <c r="E3">
        <v>-137</v>
      </c>
      <c r="F3">
        <v>-14.25</v>
      </c>
      <c r="G3">
        <f>D3-B3</f>
        <v>4.109260082244873</v>
      </c>
      <c r="I3">
        <v>729372961</v>
      </c>
      <c r="J3" s="1" t="s">
        <v>123</v>
      </c>
      <c r="N3">
        <v>17</v>
      </c>
      <c r="O3">
        <v>1782148741.9568999</v>
      </c>
      <c r="P3">
        <v>4030814316</v>
      </c>
      <c r="Q3" s="1" t="s">
        <v>237</v>
      </c>
      <c r="R3">
        <v>-138</v>
      </c>
      <c r="S3">
        <v>-15</v>
      </c>
      <c r="T3">
        <f>Q3-O3</f>
        <v>12.026700019836426</v>
      </c>
      <c r="V3">
        <v>59548170</v>
      </c>
      <c r="W3" s="1" t="s">
        <v>30</v>
      </c>
      <c r="X3">
        <v>-38</v>
      </c>
      <c r="Y3">
        <v>12.75</v>
      </c>
      <c r="AA3" s="1"/>
    </row>
    <row r="4" spans="1:27" x14ac:dyDescent="0.2">
      <c r="A4">
        <v>3</v>
      </c>
      <c r="B4">
        <v>1782221277</v>
      </c>
      <c r="C4">
        <v>1637025159</v>
      </c>
      <c r="D4" s="1" t="s">
        <v>2</v>
      </c>
      <c r="E4">
        <v>-136</v>
      </c>
      <c r="F4">
        <v>-12.75</v>
      </c>
      <c r="G4">
        <f>D4-B4</f>
        <v>10.206660032272339</v>
      </c>
      <c r="I4">
        <v>729372961</v>
      </c>
      <c r="J4" s="1" t="s">
        <v>124</v>
      </c>
      <c r="K4">
        <v>-139</v>
      </c>
      <c r="L4">
        <v>-14.5</v>
      </c>
      <c r="N4">
        <v>33</v>
      </c>
      <c r="O4">
        <v>1782148823.68995</v>
      </c>
      <c r="P4">
        <v>4214166652</v>
      </c>
      <c r="Q4" s="1" t="s">
        <v>238</v>
      </c>
      <c r="R4">
        <v>-139</v>
      </c>
      <c r="S4">
        <v>-14.75</v>
      </c>
      <c r="T4">
        <f>Q4-O4</f>
        <v>6.8313801288604736</v>
      </c>
      <c r="V4">
        <v>607901195</v>
      </c>
      <c r="W4" s="1" t="s">
        <v>31</v>
      </c>
      <c r="X4">
        <v>-40</v>
      </c>
      <c r="Y4">
        <v>8.5</v>
      </c>
      <c r="AA4" s="1"/>
    </row>
    <row r="5" spans="1:27" x14ac:dyDescent="0.2">
      <c r="A5">
        <v>4</v>
      </c>
      <c r="B5">
        <v>1782221337</v>
      </c>
      <c r="C5">
        <v>4220239240</v>
      </c>
      <c r="D5" s="1" t="s">
        <v>3</v>
      </c>
      <c r="E5">
        <v>-135</v>
      </c>
      <c r="F5">
        <v>-11.75</v>
      </c>
      <c r="G5">
        <f t="shared" ref="G5:G31" si="0">D5-B5</f>
        <v>18.20403003692627</v>
      </c>
      <c r="I5">
        <v>2255946018</v>
      </c>
      <c r="J5" s="1" t="s">
        <v>125</v>
      </c>
      <c r="N5">
        <v>39</v>
      </c>
      <c r="O5">
        <v>1782148854.3402801</v>
      </c>
      <c r="P5">
        <v>2817523842</v>
      </c>
      <c r="Q5" s="1" t="s">
        <v>239</v>
      </c>
      <c r="R5">
        <v>-132</v>
      </c>
      <c r="S5">
        <v>-10.25</v>
      </c>
      <c r="T5">
        <f>Q5-O5</f>
        <v>12.067489862442017</v>
      </c>
      <c r="V5">
        <v>2739012108</v>
      </c>
      <c r="W5" s="1" t="s">
        <v>32</v>
      </c>
      <c r="X5">
        <v>-40</v>
      </c>
      <c r="Y5">
        <v>10</v>
      </c>
      <c r="AA5" s="1"/>
    </row>
    <row r="6" spans="1:27" x14ac:dyDescent="0.2">
      <c r="A6">
        <v>6</v>
      </c>
      <c r="B6">
        <v>1782221457</v>
      </c>
      <c r="C6">
        <v>1470798218</v>
      </c>
      <c r="D6" s="1" t="s">
        <v>4</v>
      </c>
      <c r="E6">
        <v>-134</v>
      </c>
      <c r="F6">
        <v>-9.75</v>
      </c>
      <c r="G6">
        <f t="shared" si="0"/>
        <v>3.2466199398040771</v>
      </c>
      <c r="I6">
        <v>2255946018</v>
      </c>
      <c r="J6" s="1" t="s">
        <v>126</v>
      </c>
      <c r="K6">
        <v>-141</v>
      </c>
      <c r="L6">
        <v>-16</v>
      </c>
      <c r="N6">
        <v>44</v>
      </c>
      <c r="O6">
        <v>1782148879.8724999</v>
      </c>
      <c r="P6">
        <v>3969881223</v>
      </c>
      <c r="Q6" s="1" t="s">
        <v>240</v>
      </c>
      <c r="R6">
        <v>-139</v>
      </c>
      <c r="S6">
        <v>-16.5</v>
      </c>
      <c r="T6">
        <f t="shared" ref="T6:T66" si="1">Q6-O6</f>
        <v>3.1116800308227539</v>
      </c>
      <c r="V6">
        <v>2054294029</v>
      </c>
      <c r="W6" s="1" t="s">
        <v>33</v>
      </c>
      <c r="X6">
        <v>-41</v>
      </c>
      <c r="Y6">
        <v>10.5</v>
      </c>
      <c r="AA6" s="1"/>
    </row>
    <row r="7" spans="1:27" x14ac:dyDescent="0.2">
      <c r="A7">
        <v>7</v>
      </c>
      <c r="B7">
        <v>1782221517</v>
      </c>
      <c r="C7">
        <v>548419979</v>
      </c>
      <c r="D7" s="1" t="s">
        <v>5</v>
      </c>
      <c r="E7">
        <v>-139</v>
      </c>
      <c r="F7">
        <v>-15.75</v>
      </c>
      <c r="G7">
        <f t="shared" si="0"/>
        <v>3.6383600234985352</v>
      </c>
      <c r="I7">
        <v>2219626787</v>
      </c>
      <c r="J7" s="1" t="s">
        <v>127</v>
      </c>
      <c r="N7">
        <v>46</v>
      </c>
      <c r="O7">
        <v>1782148890.10186</v>
      </c>
      <c r="P7">
        <v>1301657737</v>
      </c>
      <c r="Q7" s="1" t="s">
        <v>241</v>
      </c>
      <c r="R7">
        <v>-140</v>
      </c>
      <c r="S7">
        <v>-16.75</v>
      </c>
      <c r="T7">
        <f t="shared" si="1"/>
        <v>3.0944499969482422</v>
      </c>
      <c r="V7">
        <v>1294283278</v>
      </c>
      <c r="W7" s="1" t="s">
        <v>34</v>
      </c>
      <c r="X7">
        <v>-42</v>
      </c>
      <c r="Y7">
        <v>13.75</v>
      </c>
      <c r="AA7" s="1"/>
    </row>
    <row r="8" spans="1:27" x14ac:dyDescent="0.2">
      <c r="A8">
        <v>9</v>
      </c>
      <c r="B8">
        <v>1782221638</v>
      </c>
      <c r="C8">
        <v>2627632525</v>
      </c>
      <c r="D8" s="1" t="s">
        <v>6</v>
      </c>
      <c r="E8">
        <v>-143</v>
      </c>
      <c r="F8">
        <v>-18.5</v>
      </c>
      <c r="G8">
        <f t="shared" si="0"/>
        <v>3.8204400539398193</v>
      </c>
      <c r="I8">
        <v>2219626787</v>
      </c>
      <c r="J8" s="1" t="s">
        <v>128</v>
      </c>
      <c r="K8">
        <v>-140</v>
      </c>
      <c r="L8">
        <v>-15.5</v>
      </c>
      <c r="N8">
        <v>54</v>
      </c>
      <c r="O8">
        <v>1782148930.9663</v>
      </c>
      <c r="P8">
        <v>1431559313</v>
      </c>
      <c r="Q8" s="1" t="s">
        <v>242</v>
      </c>
      <c r="R8">
        <v>-140</v>
      </c>
      <c r="S8">
        <v>-17.25</v>
      </c>
      <c r="T8">
        <f t="shared" si="1"/>
        <v>21.575010061264038</v>
      </c>
      <c r="V8">
        <v>2599896591</v>
      </c>
      <c r="W8">
        <v>1782147279.60197</v>
      </c>
      <c r="X8">
        <v>-44</v>
      </c>
      <c r="Y8">
        <v>13.5</v>
      </c>
    </row>
    <row r="9" spans="1:27" x14ac:dyDescent="0.2">
      <c r="A9">
        <v>10</v>
      </c>
      <c r="B9">
        <v>1782221698</v>
      </c>
      <c r="C9">
        <v>2046858638</v>
      </c>
      <c r="D9" s="1" t="s">
        <v>7</v>
      </c>
      <c r="E9">
        <v>-135</v>
      </c>
      <c r="F9">
        <v>-11.25</v>
      </c>
      <c r="G9">
        <f t="shared" si="0"/>
        <v>2.8129599094390869</v>
      </c>
      <c r="I9">
        <v>122175780</v>
      </c>
      <c r="J9" s="1" t="s">
        <v>129</v>
      </c>
      <c r="N9">
        <v>56</v>
      </c>
      <c r="O9">
        <v>1782148941.1833301</v>
      </c>
      <c r="P9">
        <v>3440570515</v>
      </c>
      <c r="Q9" s="1" t="s">
        <v>243</v>
      </c>
      <c r="R9">
        <v>-128</v>
      </c>
      <c r="S9">
        <v>-7.75</v>
      </c>
      <c r="T9">
        <f t="shared" si="1"/>
        <v>22.435250043869019</v>
      </c>
      <c r="V9">
        <v>1371765264</v>
      </c>
      <c r="W9" s="1" t="s">
        <v>35</v>
      </c>
      <c r="X9">
        <v>-41</v>
      </c>
      <c r="Y9">
        <v>10.25</v>
      </c>
      <c r="AA9" s="1"/>
    </row>
    <row r="10" spans="1:27" x14ac:dyDescent="0.2">
      <c r="A10">
        <v>12</v>
      </c>
      <c r="B10">
        <v>1782221818</v>
      </c>
      <c r="C10">
        <v>138802576</v>
      </c>
      <c r="D10" s="1" t="s">
        <v>8</v>
      </c>
      <c r="E10">
        <v>-134</v>
      </c>
      <c r="F10">
        <v>-10</v>
      </c>
      <c r="G10">
        <f t="shared" si="0"/>
        <v>2.9275600910186768</v>
      </c>
      <c r="I10">
        <v>3622173989</v>
      </c>
      <c r="J10" s="1" t="s">
        <v>130</v>
      </c>
      <c r="N10">
        <v>57</v>
      </c>
      <c r="O10">
        <v>1782148946.2932601</v>
      </c>
      <c r="P10">
        <v>4073997460</v>
      </c>
      <c r="Q10" s="1" t="s">
        <v>244</v>
      </c>
      <c r="R10">
        <v>-128</v>
      </c>
      <c r="S10">
        <v>-7.25</v>
      </c>
      <c r="T10">
        <f t="shared" si="1"/>
        <v>23.874329805374146</v>
      </c>
      <c r="V10">
        <v>2695563793</v>
      </c>
      <c r="W10" s="1" t="s">
        <v>36</v>
      </c>
      <c r="X10">
        <v>-41</v>
      </c>
      <c r="Y10">
        <v>10.75</v>
      </c>
      <c r="AA10" s="1"/>
    </row>
    <row r="11" spans="1:27" x14ac:dyDescent="0.2">
      <c r="A11">
        <v>13</v>
      </c>
      <c r="B11">
        <v>1782221878</v>
      </c>
      <c r="C11">
        <v>993510801</v>
      </c>
      <c r="D11" s="1" t="s">
        <v>9</v>
      </c>
      <c r="E11">
        <v>-134</v>
      </c>
      <c r="F11">
        <v>-10.5</v>
      </c>
      <c r="G11">
        <f t="shared" si="0"/>
        <v>10.228149890899658</v>
      </c>
      <c r="I11">
        <v>3622173989</v>
      </c>
      <c r="J11" s="1" t="s">
        <v>131</v>
      </c>
      <c r="K11">
        <v>-140</v>
      </c>
      <c r="L11">
        <v>-15.25</v>
      </c>
      <c r="N11">
        <v>61</v>
      </c>
      <c r="O11">
        <v>1782148966.71702</v>
      </c>
      <c r="P11">
        <v>541416600</v>
      </c>
      <c r="Q11" s="1" t="s">
        <v>245</v>
      </c>
      <c r="R11">
        <v>-135</v>
      </c>
      <c r="S11">
        <v>-12.5</v>
      </c>
      <c r="T11">
        <f t="shared" si="1"/>
        <v>23.56466007232666</v>
      </c>
      <c r="V11">
        <v>585779378</v>
      </c>
      <c r="W11" s="1" t="s">
        <v>37</v>
      </c>
      <c r="AA11" s="1"/>
    </row>
    <row r="12" spans="1:27" x14ac:dyDescent="0.2">
      <c r="A12">
        <v>14</v>
      </c>
      <c r="B12">
        <v>1782221938</v>
      </c>
      <c r="C12">
        <v>4036419986</v>
      </c>
      <c r="D12" s="1" t="s">
        <v>10</v>
      </c>
      <c r="E12">
        <v>-132</v>
      </c>
      <c r="F12">
        <v>-9.25</v>
      </c>
      <c r="G12">
        <f t="shared" si="0"/>
        <v>3.525670051574707</v>
      </c>
      <c r="I12">
        <v>1616640294</v>
      </c>
      <c r="J12" s="1" t="s">
        <v>132</v>
      </c>
      <c r="N12">
        <v>87</v>
      </c>
      <c r="O12">
        <v>1782149099.5953901</v>
      </c>
      <c r="P12">
        <v>585779378</v>
      </c>
      <c r="Q12" s="1" t="s">
        <v>246</v>
      </c>
      <c r="R12">
        <v>-132</v>
      </c>
      <c r="S12">
        <v>-7.5</v>
      </c>
      <c r="T12">
        <f t="shared" si="1"/>
        <v>13.361680030822754</v>
      </c>
      <c r="V12">
        <v>585779378</v>
      </c>
      <c r="W12" s="1" t="s">
        <v>38</v>
      </c>
      <c r="X12">
        <v>-142</v>
      </c>
      <c r="Y12">
        <v>-17.5</v>
      </c>
      <c r="AA12" s="1"/>
    </row>
    <row r="13" spans="1:27" x14ac:dyDescent="0.2">
      <c r="A13">
        <v>15</v>
      </c>
      <c r="B13">
        <v>1782221998</v>
      </c>
      <c r="C13">
        <v>1590730131</v>
      </c>
      <c r="D13" s="1" t="s">
        <v>11</v>
      </c>
      <c r="E13">
        <v>-134</v>
      </c>
      <c r="F13">
        <v>-10.75</v>
      </c>
      <c r="G13">
        <f t="shared" si="0"/>
        <v>10.636470079421997</v>
      </c>
      <c r="I13">
        <v>1616640294</v>
      </c>
      <c r="J13" s="1" t="s">
        <v>133</v>
      </c>
      <c r="K13">
        <v>-140</v>
      </c>
      <c r="L13">
        <v>-15</v>
      </c>
      <c r="N13">
        <v>99</v>
      </c>
      <c r="O13">
        <v>1782149160.96137</v>
      </c>
      <c r="P13">
        <v>3113027774</v>
      </c>
      <c r="Q13" s="1" t="s">
        <v>247</v>
      </c>
      <c r="R13">
        <v>-135</v>
      </c>
      <c r="S13">
        <v>-13</v>
      </c>
      <c r="T13">
        <f t="shared" si="1"/>
        <v>24.668970108032227</v>
      </c>
      <c r="V13">
        <v>2822975675</v>
      </c>
      <c r="W13" s="1" t="s">
        <v>39</v>
      </c>
      <c r="AA13" s="1"/>
    </row>
    <row r="14" spans="1:27" x14ac:dyDescent="0.2">
      <c r="A14">
        <v>16</v>
      </c>
      <c r="B14">
        <v>1782222058</v>
      </c>
      <c r="C14">
        <v>2017960340</v>
      </c>
      <c r="D14" s="1" t="s">
        <v>12</v>
      </c>
      <c r="E14">
        <v>-136</v>
      </c>
      <c r="F14">
        <v>-11.5</v>
      </c>
      <c r="G14">
        <f t="shared" si="0"/>
        <v>3.6838400363922119</v>
      </c>
      <c r="I14">
        <v>1832745255</v>
      </c>
      <c r="J14" s="1" t="s">
        <v>134</v>
      </c>
      <c r="N14">
        <v>103</v>
      </c>
      <c r="O14">
        <v>1782149181.4319601</v>
      </c>
      <c r="P14">
        <v>4096099522</v>
      </c>
      <c r="Q14" s="1" t="s">
        <v>248</v>
      </c>
      <c r="R14">
        <v>-138</v>
      </c>
      <c r="S14">
        <v>-14.5</v>
      </c>
      <c r="T14">
        <f t="shared" si="1"/>
        <v>7.6366498470306396</v>
      </c>
      <c r="V14">
        <v>2015458496</v>
      </c>
      <c r="W14" s="1" t="s">
        <v>40</v>
      </c>
      <c r="AA14" s="1"/>
    </row>
    <row r="15" spans="1:27" x14ac:dyDescent="0.2">
      <c r="A15">
        <v>17</v>
      </c>
      <c r="B15">
        <v>1782222118</v>
      </c>
      <c r="C15">
        <v>3122014613</v>
      </c>
      <c r="D15" s="1" t="s">
        <v>13</v>
      </c>
      <c r="E15">
        <v>-139</v>
      </c>
      <c r="F15">
        <v>-16.75</v>
      </c>
      <c r="G15">
        <f t="shared" si="0"/>
        <v>18.143290042877197</v>
      </c>
      <c r="I15">
        <v>1832745255</v>
      </c>
      <c r="J15" s="1" t="s">
        <v>135</v>
      </c>
      <c r="K15">
        <v>-140</v>
      </c>
      <c r="L15">
        <v>-14.75</v>
      </c>
      <c r="N15">
        <v>105</v>
      </c>
      <c r="O15">
        <v>1782149191.66594</v>
      </c>
      <c r="P15">
        <v>2415827140</v>
      </c>
      <c r="Q15" s="1" t="s">
        <v>249</v>
      </c>
      <c r="R15">
        <v>-137</v>
      </c>
      <c r="S15">
        <v>-13.5</v>
      </c>
      <c r="T15">
        <f t="shared" si="1"/>
        <v>3.6272799968719482</v>
      </c>
      <c r="V15">
        <v>3113027774</v>
      </c>
      <c r="W15" s="1" t="s">
        <v>41</v>
      </c>
      <c r="AA15" s="1"/>
    </row>
    <row r="16" spans="1:27" x14ac:dyDescent="0.2">
      <c r="A16">
        <v>18</v>
      </c>
      <c r="B16">
        <v>1782222178</v>
      </c>
      <c r="C16">
        <v>2308042134</v>
      </c>
      <c r="D16" s="1" t="s">
        <v>14</v>
      </c>
      <c r="E16">
        <v>-136</v>
      </c>
      <c r="F16">
        <v>-12</v>
      </c>
      <c r="G16">
        <f t="shared" si="0"/>
        <v>11.001420021057129</v>
      </c>
      <c r="I16">
        <v>2843938088</v>
      </c>
      <c r="J16" s="1" t="s">
        <v>136</v>
      </c>
      <c r="N16">
        <v>106</v>
      </c>
      <c r="O16">
        <v>1782149196.7801099</v>
      </c>
      <c r="P16">
        <v>2007240901</v>
      </c>
      <c r="Q16" s="1" t="s">
        <v>250</v>
      </c>
      <c r="R16">
        <v>-133</v>
      </c>
      <c r="S16">
        <v>-9.5</v>
      </c>
      <c r="T16">
        <f t="shared" si="1"/>
        <v>5.7126500606536865</v>
      </c>
      <c r="V16">
        <v>3113027774</v>
      </c>
      <c r="W16" s="1" t="s">
        <v>42</v>
      </c>
      <c r="X16">
        <v>-144</v>
      </c>
      <c r="Y16">
        <v>-19</v>
      </c>
      <c r="AA16" s="1"/>
    </row>
    <row r="17" spans="1:27" x14ac:dyDescent="0.2">
      <c r="A17">
        <v>21</v>
      </c>
      <c r="B17">
        <v>1782222359</v>
      </c>
      <c r="C17">
        <v>2806242713</v>
      </c>
      <c r="D17">
        <v>1782222362</v>
      </c>
      <c r="E17">
        <v>-134</v>
      </c>
      <c r="F17">
        <v>-11.25</v>
      </c>
      <c r="G17">
        <f t="shared" si="0"/>
        <v>3</v>
      </c>
      <c r="I17">
        <v>2843938088</v>
      </c>
      <c r="J17">
        <v>1782217652.5947399</v>
      </c>
      <c r="K17">
        <v>-140</v>
      </c>
      <c r="L17">
        <v>-15</v>
      </c>
      <c r="N17">
        <v>117</v>
      </c>
      <c r="O17">
        <v>1782149253.0043099</v>
      </c>
      <c r="P17">
        <v>1717115088</v>
      </c>
      <c r="Q17" s="1" t="s">
        <v>251</v>
      </c>
      <c r="R17">
        <v>-135</v>
      </c>
      <c r="S17">
        <v>-11.75</v>
      </c>
      <c r="T17">
        <f t="shared" si="1"/>
        <v>5.0532901287078857</v>
      </c>
      <c r="V17">
        <v>4096099522</v>
      </c>
      <c r="W17" s="1" t="s">
        <v>43</v>
      </c>
      <c r="X17">
        <v>-139</v>
      </c>
      <c r="Y17">
        <v>-15.75</v>
      </c>
      <c r="AA17" s="1"/>
    </row>
    <row r="18" spans="1:27" x14ac:dyDescent="0.2">
      <c r="A18">
        <v>24</v>
      </c>
      <c r="B18">
        <v>1782222539</v>
      </c>
      <c r="C18">
        <v>1923212700</v>
      </c>
      <c r="D18" s="1" t="s">
        <v>15</v>
      </c>
      <c r="E18">
        <v>-132</v>
      </c>
      <c r="F18">
        <v>-9</v>
      </c>
      <c r="G18">
        <f t="shared" si="0"/>
        <v>10.467299938201904</v>
      </c>
      <c r="I18">
        <v>2884938026</v>
      </c>
      <c r="J18" s="1" t="s">
        <v>137</v>
      </c>
      <c r="N18">
        <v>116</v>
      </c>
      <c r="O18">
        <v>1782149247.8966999</v>
      </c>
      <c r="P18">
        <v>1487864015</v>
      </c>
      <c r="Q18" s="1" t="s">
        <v>252</v>
      </c>
      <c r="R18">
        <v>-134</v>
      </c>
      <c r="S18">
        <v>-10.5</v>
      </c>
      <c r="T18">
        <f t="shared" si="1"/>
        <v>22.146010160446167</v>
      </c>
      <c r="V18">
        <v>2415827140</v>
      </c>
      <c r="W18" s="1" t="s">
        <v>44</v>
      </c>
      <c r="AA18" s="1"/>
    </row>
    <row r="19" spans="1:27" x14ac:dyDescent="0.2">
      <c r="A19">
        <v>25</v>
      </c>
      <c r="B19">
        <v>1782222599</v>
      </c>
      <c r="C19">
        <v>3824428445</v>
      </c>
      <c r="D19" s="1" t="s">
        <v>16</v>
      </c>
      <c r="E19">
        <v>-135</v>
      </c>
      <c r="F19">
        <v>-13</v>
      </c>
      <c r="G19">
        <f t="shared" si="0"/>
        <v>17.636569976806641</v>
      </c>
      <c r="I19">
        <v>2884938026</v>
      </c>
      <c r="J19" s="1" t="s">
        <v>138</v>
      </c>
      <c r="K19">
        <v>-144</v>
      </c>
      <c r="L19">
        <v>-18.5</v>
      </c>
      <c r="N19">
        <v>138</v>
      </c>
      <c r="O19">
        <v>1782149360.3532</v>
      </c>
      <c r="P19">
        <v>1877002469</v>
      </c>
      <c r="Q19" s="1" t="s">
        <v>253</v>
      </c>
      <c r="R19">
        <v>-133</v>
      </c>
      <c r="S19">
        <v>-9</v>
      </c>
      <c r="T19">
        <f t="shared" si="1"/>
        <v>23.3610999584198</v>
      </c>
      <c r="V19">
        <v>2415827140</v>
      </c>
      <c r="W19" s="1" t="s">
        <v>45</v>
      </c>
      <c r="X19">
        <v>-141</v>
      </c>
      <c r="Y19">
        <v>-16.5</v>
      </c>
      <c r="AA19" s="1"/>
    </row>
    <row r="20" spans="1:27" x14ac:dyDescent="0.2">
      <c r="A20">
        <v>26</v>
      </c>
      <c r="B20">
        <v>1782222659</v>
      </c>
      <c r="C20">
        <v>3203792286</v>
      </c>
      <c r="D20" s="1" t="s">
        <v>17</v>
      </c>
      <c r="E20">
        <v>-136</v>
      </c>
      <c r="F20">
        <v>-11.5</v>
      </c>
      <c r="G20">
        <f t="shared" si="0"/>
        <v>3.6116700172424316</v>
      </c>
      <c r="I20">
        <v>462384427</v>
      </c>
      <c r="J20" s="1" t="s">
        <v>139</v>
      </c>
      <c r="N20">
        <v>167</v>
      </c>
      <c r="O20">
        <v>1782149508.62397</v>
      </c>
      <c r="P20">
        <v>1242344706</v>
      </c>
      <c r="Q20" s="1" t="s">
        <v>254</v>
      </c>
      <c r="R20">
        <v>-136</v>
      </c>
      <c r="S20">
        <v>-12.5</v>
      </c>
      <c r="T20">
        <f t="shared" si="1"/>
        <v>23.550359964370728</v>
      </c>
      <c r="V20">
        <v>2007240901</v>
      </c>
      <c r="W20" s="1" t="s">
        <v>46</v>
      </c>
      <c r="X20">
        <v>-144</v>
      </c>
      <c r="Y20">
        <v>-19.75</v>
      </c>
      <c r="AA20" s="1"/>
    </row>
    <row r="21" spans="1:27" x14ac:dyDescent="0.2">
      <c r="A21">
        <v>28</v>
      </c>
      <c r="B21">
        <v>1782222780</v>
      </c>
      <c r="C21">
        <v>2898474400</v>
      </c>
      <c r="D21" s="1" t="s">
        <v>18</v>
      </c>
      <c r="E21">
        <v>-141</v>
      </c>
      <c r="F21">
        <v>-17.75</v>
      </c>
      <c r="G21">
        <f t="shared" si="0"/>
        <v>2.8278200626373291</v>
      </c>
      <c r="I21">
        <v>3057522988</v>
      </c>
      <c r="J21" s="1" t="s">
        <v>140</v>
      </c>
      <c r="N21">
        <v>169</v>
      </c>
      <c r="O21">
        <v>1782149518.8429999</v>
      </c>
      <c r="P21">
        <v>124996868</v>
      </c>
      <c r="Q21" s="1" t="s">
        <v>255</v>
      </c>
      <c r="R21">
        <v>-131</v>
      </c>
      <c r="S21">
        <v>-8.25</v>
      </c>
      <c r="T21">
        <f t="shared" si="1"/>
        <v>14.567500114440918</v>
      </c>
      <c r="V21">
        <v>4156321992</v>
      </c>
      <c r="W21" s="1" t="s">
        <v>47</v>
      </c>
      <c r="AA21" s="1"/>
    </row>
    <row r="22" spans="1:27" x14ac:dyDescent="0.2">
      <c r="A22">
        <v>29</v>
      </c>
      <c r="B22">
        <v>1782222840</v>
      </c>
      <c r="C22">
        <v>3907392929</v>
      </c>
      <c r="D22" s="1" t="s">
        <v>19</v>
      </c>
      <c r="E22">
        <v>-141</v>
      </c>
      <c r="F22">
        <v>-17</v>
      </c>
      <c r="G22">
        <f t="shared" si="0"/>
        <v>2.8819000720977783</v>
      </c>
      <c r="I22">
        <v>3836721453</v>
      </c>
      <c r="J22" s="1" t="s">
        <v>141</v>
      </c>
      <c r="N22">
        <v>173</v>
      </c>
      <c r="O22">
        <v>1782149539.29967</v>
      </c>
      <c r="P22">
        <v>3524587784</v>
      </c>
      <c r="Q22" s="1" t="s">
        <v>256</v>
      </c>
      <c r="R22">
        <v>-128</v>
      </c>
      <c r="S22">
        <v>-4.5</v>
      </c>
      <c r="T22">
        <f t="shared" si="1"/>
        <v>9.3723900318145752</v>
      </c>
      <c r="V22">
        <v>1242344706</v>
      </c>
      <c r="W22" s="1" t="s">
        <v>48</v>
      </c>
      <c r="AA22" s="1"/>
    </row>
    <row r="23" spans="1:27" x14ac:dyDescent="0.2">
      <c r="A23">
        <v>34</v>
      </c>
      <c r="B23">
        <v>1782223140</v>
      </c>
      <c r="C23">
        <v>2075148710</v>
      </c>
      <c r="D23" s="1" t="s">
        <v>20</v>
      </c>
      <c r="E23">
        <v>-139</v>
      </c>
      <c r="F23">
        <v>-16.25</v>
      </c>
      <c r="G23">
        <f t="shared" si="0"/>
        <v>3.3792901039123535</v>
      </c>
      <c r="I23">
        <v>3836721453</v>
      </c>
      <c r="J23" s="1" t="s">
        <v>142</v>
      </c>
      <c r="K23">
        <v>-143</v>
      </c>
      <c r="L23">
        <v>-17.5</v>
      </c>
      <c r="N23">
        <v>174</v>
      </c>
      <c r="O23">
        <v>1782149544.4029901</v>
      </c>
      <c r="P23">
        <v>1883863305</v>
      </c>
      <c r="Q23" s="1" t="s">
        <v>257</v>
      </c>
      <c r="R23">
        <v>-134</v>
      </c>
      <c r="S23">
        <v>-9.75</v>
      </c>
      <c r="T23">
        <f t="shared" si="1"/>
        <v>14.443419933319092</v>
      </c>
      <c r="V23">
        <v>1242344706</v>
      </c>
      <c r="W23" s="1" t="s">
        <v>49</v>
      </c>
      <c r="X23">
        <v>-144</v>
      </c>
      <c r="Y23">
        <v>-20</v>
      </c>
      <c r="AA23" s="1"/>
    </row>
    <row r="24" spans="1:27" x14ac:dyDescent="0.2">
      <c r="A24">
        <v>37</v>
      </c>
      <c r="B24">
        <v>1782223321</v>
      </c>
      <c r="C24">
        <v>2064934313</v>
      </c>
      <c r="D24" s="1" t="s">
        <v>21</v>
      </c>
      <c r="E24">
        <v>-138</v>
      </c>
      <c r="F24">
        <v>-14</v>
      </c>
      <c r="G24">
        <f t="shared" si="0"/>
        <v>10.740750074386597</v>
      </c>
      <c r="I24">
        <v>1399481646</v>
      </c>
      <c r="J24" s="1" t="s">
        <v>143</v>
      </c>
      <c r="N24">
        <v>176</v>
      </c>
      <c r="O24">
        <v>1782149554.62779</v>
      </c>
      <c r="P24">
        <v>684951819</v>
      </c>
      <c r="Q24" s="1" t="s">
        <v>258</v>
      </c>
      <c r="R24">
        <v>-133</v>
      </c>
      <c r="S24">
        <v>-10</v>
      </c>
      <c r="T24">
        <f t="shared" si="1"/>
        <v>14.528870105743408</v>
      </c>
      <c r="V24">
        <v>3524587784</v>
      </c>
      <c r="W24" s="1" t="s">
        <v>50</v>
      </c>
      <c r="AA24" s="1"/>
    </row>
    <row r="25" spans="1:27" x14ac:dyDescent="0.2">
      <c r="A25">
        <v>40</v>
      </c>
      <c r="B25">
        <v>1782223501</v>
      </c>
      <c r="C25">
        <v>941753772</v>
      </c>
      <c r="D25" s="1" t="s">
        <v>22</v>
      </c>
      <c r="E25">
        <v>-143</v>
      </c>
      <c r="F25">
        <v>-18.5</v>
      </c>
      <c r="G25">
        <f t="shared" si="0"/>
        <v>4.6866400241851807</v>
      </c>
      <c r="I25">
        <v>1399481646</v>
      </c>
      <c r="J25" s="1" t="s">
        <v>144</v>
      </c>
      <c r="K25">
        <v>-144</v>
      </c>
      <c r="L25">
        <v>-18.75</v>
      </c>
      <c r="N25">
        <v>178</v>
      </c>
      <c r="O25">
        <v>1782149564.8550999</v>
      </c>
      <c r="P25">
        <v>1164962061</v>
      </c>
      <c r="Q25" s="1" t="s">
        <v>259</v>
      </c>
      <c r="R25">
        <v>-133</v>
      </c>
      <c r="S25">
        <v>-9.75</v>
      </c>
      <c r="T25">
        <f t="shared" si="1"/>
        <v>6.9763000011444092</v>
      </c>
      <c r="V25">
        <v>3524587784</v>
      </c>
      <c r="W25" s="1" t="s">
        <v>51</v>
      </c>
      <c r="X25">
        <v>-142</v>
      </c>
      <c r="Y25">
        <v>-17.75</v>
      </c>
      <c r="AA25" s="1"/>
    </row>
    <row r="26" spans="1:27" x14ac:dyDescent="0.2">
      <c r="A26">
        <v>45</v>
      </c>
      <c r="B26">
        <v>1782223801</v>
      </c>
      <c r="C26">
        <v>2579889</v>
      </c>
      <c r="D26" s="1" t="s">
        <v>23</v>
      </c>
      <c r="E26">
        <v>-136</v>
      </c>
      <c r="F26">
        <v>-12.25</v>
      </c>
      <c r="G26">
        <f>D26-B26</f>
        <v>10.840280055999756</v>
      </c>
      <c r="I26">
        <v>1647871280</v>
      </c>
      <c r="J26" s="1" t="s">
        <v>145</v>
      </c>
      <c r="N26">
        <v>177</v>
      </c>
      <c r="O26">
        <v>1782149559.74156</v>
      </c>
      <c r="P26">
        <v>315475212</v>
      </c>
      <c r="Q26" s="1" t="s">
        <v>260</v>
      </c>
      <c r="R26">
        <v>-137</v>
      </c>
      <c r="S26">
        <v>-13.5</v>
      </c>
      <c r="T26">
        <f t="shared" si="1"/>
        <v>26.338119983673096</v>
      </c>
      <c r="V26">
        <v>684951819</v>
      </c>
      <c r="W26" s="1" t="s">
        <v>52</v>
      </c>
      <c r="AA26" s="1"/>
    </row>
    <row r="27" spans="1:27" x14ac:dyDescent="0.2">
      <c r="A27">
        <v>46</v>
      </c>
      <c r="B27">
        <v>1782223862</v>
      </c>
      <c r="C27">
        <v>1218838962</v>
      </c>
      <c r="D27" s="1" t="s">
        <v>24</v>
      </c>
      <c r="E27">
        <v>-136</v>
      </c>
      <c r="F27">
        <v>-12.25</v>
      </c>
      <c r="G27">
        <f t="shared" si="0"/>
        <v>2.810499906539917</v>
      </c>
      <c r="I27">
        <v>180512049</v>
      </c>
      <c r="J27" s="1" t="s">
        <v>146</v>
      </c>
      <c r="N27">
        <v>183</v>
      </c>
      <c r="O27">
        <v>1782149590.4453399</v>
      </c>
      <c r="P27">
        <v>3439140114</v>
      </c>
      <c r="Q27" s="1" t="s">
        <v>261</v>
      </c>
      <c r="R27">
        <v>-134</v>
      </c>
      <c r="S27">
        <v>-9.5</v>
      </c>
      <c r="T27">
        <f t="shared" si="1"/>
        <v>14.700200080871582</v>
      </c>
      <c r="V27">
        <v>1883863305</v>
      </c>
      <c r="W27" s="1" t="s">
        <v>53</v>
      </c>
      <c r="AA27" s="1"/>
    </row>
    <row r="28" spans="1:27" x14ac:dyDescent="0.2">
      <c r="A28">
        <v>48</v>
      </c>
      <c r="B28">
        <v>1782223982</v>
      </c>
      <c r="C28">
        <v>3812074932</v>
      </c>
      <c r="D28" s="1" t="s">
        <v>25</v>
      </c>
      <c r="E28">
        <v>-125</v>
      </c>
      <c r="F28">
        <v>-4.25</v>
      </c>
      <c r="G28">
        <f t="shared" si="0"/>
        <v>17.789190053939819</v>
      </c>
      <c r="I28">
        <v>180512049</v>
      </c>
      <c r="J28" s="1" t="s">
        <v>147</v>
      </c>
      <c r="K28">
        <v>-143</v>
      </c>
      <c r="L28">
        <v>-17</v>
      </c>
      <c r="N28">
        <v>187</v>
      </c>
      <c r="O28">
        <v>1782149610.8894899</v>
      </c>
      <c r="P28">
        <v>1398266134</v>
      </c>
      <c r="Q28" s="1" t="s">
        <v>262</v>
      </c>
      <c r="R28">
        <v>-138</v>
      </c>
      <c r="S28">
        <v>-14.25</v>
      </c>
      <c r="T28">
        <f t="shared" si="1"/>
        <v>15.704370021820068</v>
      </c>
      <c r="V28">
        <v>684951819</v>
      </c>
      <c r="W28" s="1" t="s">
        <v>54</v>
      </c>
      <c r="X28">
        <v>-141</v>
      </c>
      <c r="Y28">
        <v>-17</v>
      </c>
      <c r="AA28" s="1"/>
    </row>
    <row r="29" spans="1:27" x14ac:dyDescent="0.2">
      <c r="A29">
        <v>53</v>
      </c>
      <c r="B29">
        <v>1782224282</v>
      </c>
      <c r="C29">
        <v>706235833</v>
      </c>
      <c r="D29" s="1" t="s">
        <v>26</v>
      </c>
      <c r="E29">
        <v>-123</v>
      </c>
      <c r="F29">
        <v>-2</v>
      </c>
      <c r="G29">
        <f t="shared" si="0"/>
        <v>10.744469881057739</v>
      </c>
      <c r="I29">
        <v>586396978</v>
      </c>
      <c r="J29" s="1" t="s">
        <v>148</v>
      </c>
      <c r="N29">
        <v>189</v>
      </c>
      <c r="O29">
        <v>1782149621.12046</v>
      </c>
      <c r="P29">
        <v>728140056</v>
      </c>
      <c r="Q29" s="1" t="s">
        <v>263</v>
      </c>
      <c r="R29">
        <v>-137</v>
      </c>
      <c r="S29">
        <v>-14.25</v>
      </c>
      <c r="T29">
        <f t="shared" si="1"/>
        <v>14.470459938049316</v>
      </c>
      <c r="V29">
        <v>315475212</v>
      </c>
      <c r="W29" s="1" t="s">
        <v>55</v>
      </c>
      <c r="AA29" s="1"/>
    </row>
    <row r="30" spans="1:27" x14ac:dyDescent="0.2">
      <c r="A30">
        <v>55</v>
      </c>
      <c r="B30">
        <v>1782224403</v>
      </c>
      <c r="C30">
        <v>1883827643</v>
      </c>
      <c r="D30" s="1" t="s">
        <v>27</v>
      </c>
      <c r="E30">
        <v>-125</v>
      </c>
      <c r="F30">
        <v>-3</v>
      </c>
      <c r="G30">
        <f t="shared" si="0"/>
        <v>17.322119951248169</v>
      </c>
      <c r="I30">
        <v>586396978</v>
      </c>
      <c r="J30" s="1" t="s">
        <v>149</v>
      </c>
      <c r="K30">
        <v>-141</v>
      </c>
      <c r="L30">
        <v>-17</v>
      </c>
      <c r="N30">
        <v>192</v>
      </c>
      <c r="O30">
        <v>1782149636.44959</v>
      </c>
      <c r="P30">
        <v>2072673563</v>
      </c>
      <c r="Q30" s="1" t="s">
        <v>264</v>
      </c>
      <c r="R30">
        <v>-134</v>
      </c>
      <c r="S30">
        <v>-10</v>
      </c>
      <c r="T30">
        <f t="shared" si="1"/>
        <v>20.96068000793457</v>
      </c>
      <c r="V30">
        <v>315475212</v>
      </c>
      <c r="W30" s="1" t="s">
        <v>56</v>
      </c>
      <c r="X30">
        <v>-143</v>
      </c>
      <c r="Y30">
        <v>-17.5</v>
      </c>
      <c r="AA30" s="1"/>
    </row>
    <row r="31" spans="1:27" x14ac:dyDescent="0.2">
      <c r="A31">
        <v>57</v>
      </c>
      <c r="B31">
        <v>1782224523</v>
      </c>
      <c r="C31">
        <v>262309309</v>
      </c>
      <c r="D31" s="1" t="s">
        <v>28</v>
      </c>
      <c r="E31">
        <v>-125</v>
      </c>
      <c r="F31">
        <v>-4</v>
      </c>
      <c r="G31">
        <f t="shared" si="0"/>
        <v>17.713920116424561</v>
      </c>
      <c r="I31">
        <v>3659877683</v>
      </c>
      <c r="J31">
        <v>1782218320.61327</v>
      </c>
      <c r="K31">
        <v>-143</v>
      </c>
      <c r="L31">
        <v>-18</v>
      </c>
      <c r="N31">
        <v>196</v>
      </c>
      <c r="O31">
        <v>1782149656.8817599</v>
      </c>
      <c r="P31">
        <v>1967429919</v>
      </c>
      <c r="Q31" s="1" t="s">
        <v>265</v>
      </c>
      <c r="R31">
        <v>-133</v>
      </c>
      <c r="S31">
        <v>-10</v>
      </c>
      <c r="T31">
        <f t="shared" si="1"/>
        <v>5.4530200958251953</v>
      </c>
      <c r="V31">
        <v>1164962061</v>
      </c>
      <c r="W31" s="1" t="s">
        <v>57</v>
      </c>
      <c r="AA31" s="1"/>
    </row>
    <row r="32" spans="1:27" x14ac:dyDescent="0.2">
      <c r="B32" s="1"/>
      <c r="I32">
        <v>1679633716</v>
      </c>
      <c r="J32" s="1" t="s">
        <v>150</v>
      </c>
      <c r="N32">
        <v>201</v>
      </c>
      <c r="O32">
        <v>1782149682.4472899</v>
      </c>
      <c r="P32">
        <v>1822588196</v>
      </c>
      <c r="Q32" s="1" t="s">
        <v>266</v>
      </c>
      <c r="R32">
        <v>-133</v>
      </c>
      <c r="S32">
        <v>-9</v>
      </c>
      <c r="T32">
        <f t="shared" si="1"/>
        <v>3.9217500686645508</v>
      </c>
      <c r="V32">
        <v>3439140114</v>
      </c>
      <c r="W32" s="1" t="s">
        <v>58</v>
      </c>
      <c r="X32">
        <v>-143</v>
      </c>
      <c r="Y32">
        <v>-19.25</v>
      </c>
      <c r="AA32" s="1"/>
    </row>
    <row r="33" spans="1:27" x14ac:dyDescent="0.2">
      <c r="A33" s="4" t="s">
        <v>317</v>
      </c>
      <c r="B33" s="5" t="s">
        <v>318</v>
      </c>
      <c r="C33" s="4" t="s">
        <v>319</v>
      </c>
      <c r="D33" s="4" t="s">
        <v>320</v>
      </c>
      <c r="I33">
        <v>3683733813</v>
      </c>
      <c r="J33" s="1" t="s">
        <v>151</v>
      </c>
      <c r="N33">
        <v>202</v>
      </c>
      <c r="O33">
        <v>1782149687.56428</v>
      </c>
      <c r="P33">
        <v>25142565</v>
      </c>
      <c r="Q33" s="1" t="s">
        <v>267</v>
      </c>
      <c r="R33">
        <v>-140</v>
      </c>
      <c r="S33">
        <v>-16.5</v>
      </c>
      <c r="T33">
        <f t="shared" si="1"/>
        <v>23.838540077209473</v>
      </c>
      <c r="V33">
        <v>39774485</v>
      </c>
      <c r="W33" s="1" t="s">
        <v>59</v>
      </c>
      <c r="AA33" s="1"/>
    </row>
    <row r="34" spans="1:27" x14ac:dyDescent="0.2">
      <c r="A34">
        <f>(31/60)*100</f>
        <v>51.666666666666671</v>
      </c>
      <c r="B34" s="1">
        <f>AVERAGE(G2:G31)</f>
        <v>8.1873083511988316</v>
      </c>
      <c r="C34" cm="1">
        <f t="array" ref="C34">SUMPRODUCT(--(COUNTIF(I2:I119, C2:C31)&gt;0))</f>
        <v>28</v>
      </c>
      <c r="D34">
        <f>(C34/31)*100</f>
        <v>90.322580645161281</v>
      </c>
      <c r="I34">
        <v>297649463</v>
      </c>
      <c r="J34" s="1" t="s">
        <v>152</v>
      </c>
      <c r="N34">
        <v>205</v>
      </c>
      <c r="O34">
        <v>1782149702.91046</v>
      </c>
      <c r="P34">
        <v>3820752168</v>
      </c>
      <c r="Q34" s="1" t="s">
        <v>268</v>
      </c>
      <c r="R34">
        <v>-132</v>
      </c>
      <c r="S34">
        <v>-10.25</v>
      </c>
      <c r="T34">
        <f t="shared" si="1"/>
        <v>22.112809896469116</v>
      </c>
      <c r="V34">
        <v>1398266134</v>
      </c>
      <c r="W34" s="1" t="s">
        <v>60</v>
      </c>
      <c r="AA34" s="1"/>
    </row>
    <row r="35" spans="1:27" x14ac:dyDescent="0.2">
      <c r="B35" s="1"/>
      <c r="I35">
        <v>297649463</v>
      </c>
      <c r="J35" s="1" t="s">
        <v>153</v>
      </c>
      <c r="K35">
        <v>-142</v>
      </c>
      <c r="L35">
        <v>-17.5</v>
      </c>
      <c r="N35">
        <v>210</v>
      </c>
      <c r="O35">
        <v>1782149728.4874499</v>
      </c>
      <c r="P35">
        <v>4201198893</v>
      </c>
      <c r="Q35" s="1" t="s">
        <v>269</v>
      </c>
      <c r="R35">
        <v>-133</v>
      </c>
      <c r="S35">
        <v>-10.75</v>
      </c>
      <c r="T35">
        <f t="shared" si="1"/>
        <v>14.325230121612549</v>
      </c>
      <c r="V35">
        <v>1398266134</v>
      </c>
      <c r="W35" s="1" t="s">
        <v>61</v>
      </c>
      <c r="X35">
        <v>-144</v>
      </c>
      <c r="Y35">
        <v>-18.75</v>
      </c>
      <c r="AA35" s="1"/>
    </row>
    <row r="36" spans="1:27" x14ac:dyDescent="0.2">
      <c r="B36" s="1"/>
      <c r="I36">
        <v>1285018936</v>
      </c>
      <c r="J36">
        <v>1782218611.36853</v>
      </c>
      <c r="N36">
        <v>222</v>
      </c>
      <c r="O36">
        <v>1782149789.8429999</v>
      </c>
      <c r="P36">
        <v>753751353</v>
      </c>
      <c r="Q36" s="1" t="s">
        <v>270</v>
      </c>
      <c r="R36">
        <v>-138</v>
      </c>
      <c r="S36">
        <v>-14.5</v>
      </c>
      <c r="T36">
        <f t="shared" si="1"/>
        <v>24.898430109024048</v>
      </c>
      <c r="V36">
        <v>728140056</v>
      </c>
      <c r="W36" s="1" t="s">
        <v>62</v>
      </c>
      <c r="AA36" s="1"/>
    </row>
    <row r="37" spans="1:27" x14ac:dyDescent="0.2">
      <c r="B37" s="1"/>
      <c r="I37">
        <v>1321018681</v>
      </c>
      <c r="J37" s="1" t="s">
        <v>154</v>
      </c>
      <c r="N37">
        <v>226</v>
      </c>
      <c r="O37">
        <v>1782149810.31163</v>
      </c>
      <c r="P37">
        <v>3769875773</v>
      </c>
      <c r="Q37" s="1" t="s">
        <v>271</v>
      </c>
      <c r="R37">
        <v>-130</v>
      </c>
      <c r="S37">
        <v>-7.75</v>
      </c>
      <c r="T37">
        <f t="shared" si="1"/>
        <v>23.728950023651123</v>
      </c>
      <c r="V37">
        <v>2072673563</v>
      </c>
      <c r="W37" s="1" t="s">
        <v>63</v>
      </c>
      <c r="AA37" s="1"/>
    </row>
    <row r="38" spans="1:27" x14ac:dyDescent="0.2">
      <c r="I38">
        <v>1107982650</v>
      </c>
      <c r="J38" s="1" t="s">
        <v>155</v>
      </c>
      <c r="N38">
        <v>229</v>
      </c>
      <c r="O38">
        <v>1782149825.6459899</v>
      </c>
      <c r="P38">
        <v>920943936</v>
      </c>
      <c r="Q38" s="1" t="s">
        <v>272</v>
      </c>
      <c r="R38">
        <v>-130</v>
      </c>
      <c r="S38">
        <v>-6.75</v>
      </c>
      <c r="T38">
        <f t="shared" si="1"/>
        <v>13.747260093688965</v>
      </c>
      <c r="V38">
        <v>1967429919</v>
      </c>
      <c r="W38" s="1" t="s">
        <v>64</v>
      </c>
      <c r="AA38" s="1"/>
    </row>
    <row r="39" spans="1:27" x14ac:dyDescent="0.2">
      <c r="B39" s="1"/>
      <c r="I39">
        <v>3052593467</v>
      </c>
      <c r="J39" s="1" t="s">
        <v>156</v>
      </c>
      <c r="N39">
        <v>232</v>
      </c>
      <c r="O39">
        <v>1782149840.98493</v>
      </c>
      <c r="P39">
        <v>3149403459</v>
      </c>
      <c r="Q39" s="1" t="s">
        <v>273</v>
      </c>
      <c r="R39">
        <v>-129</v>
      </c>
      <c r="S39">
        <v>-6.25</v>
      </c>
      <c r="T39">
        <f t="shared" si="1"/>
        <v>5.3701798915863037</v>
      </c>
      <c r="V39">
        <v>1822588196</v>
      </c>
      <c r="W39" s="1" t="s">
        <v>65</v>
      </c>
      <c r="AA39" s="1"/>
    </row>
    <row r="40" spans="1:27" x14ac:dyDescent="0.2">
      <c r="B40" s="1"/>
      <c r="I40">
        <v>3052593467</v>
      </c>
      <c r="J40" s="1" t="s">
        <v>157</v>
      </c>
      <c r="K40">
        <v>-143</v>
      </c>
      <c r="L40">
        <v>-18</v>
      </c>
      <c r="N40">
        <v>235</v>
      </c>
      <c r="O40">
        <v>1782149856.3340499</v>
      </c>
      <c r="P40">
        <v>3036657990</v>
      </c>
      <c r="Q40" s="1" t="s">
        <v>274</v>
      </c>
      <c r="R40">
        <v>-135</v>
      </c>
      <c r="S40">
        <v>-11.75</v>
      </c>
      <c r="T40">
        <f t="shared" si="1"/>
        <v>12.443050146102905</v>
      </c>
      <c r="V40">
        <v>920943936</v>
      </c>
      <c r="W40" s="1" t="s">
        <v>66</v>
      </c>
      <c r="AA40" s="1"/>
    </row>
    <row r="41" spans="1:27" x14ac:dyDescent="0.2">
      <c r="B41" s="1"/>
      <c r="I41">
        <v>3307455804</v>
      </c>
      <c r="J41" s="1" t="s">
        <v>158</v>
      </c>
      <c r="N41">
        <v>237</v>
      </c>
      <c r="O41">
        <v>1782149866.5614901</v>
      </c>
      <c r="P41">
        <v>2129367368</v>
      </c>
      <c r="Q41" s="1" t="s">
        <v>275</v>
      </c>
      <c r="R41">
        <v>-140</v>
      </c>
      <c r="S41">
        <v>-16</v>
      </c>
      <c r="T41">
        <f t="shared" si="1"/>
        <v>13.473690032958984</v>
      </c>
      <c r="V41">
        <v>3149403459</v>
      </c>
      <c r="W41" s="1" t="s">
        <v>67</v>
      </c>
      <c r="X41">
        <v>-141</v>
      </c>
      <c r="Y41">
        <v>-17.75</v>
      </c>
      <c r="AA41" s="1"/>
    </row>
    <row r="42" spans="1:27" x14ac:dyDescent="0.2">
      <c r="B42" s="1"/>
      <c r="I42">
        <v>3307455804</v>
      </c>
      <c r="J42" s="1" t="s">
        <v>159</v>
      </c>
      <c r="K42">
        <v>-143</v>
      </c>
      <c r="L42">
        <v>-18</v>
      </c>
      <c r="N42">
        <v>241</v>
      </c>
      <c r="O42">
        <v>1782149887.02718</v>
      </c>
      <c r="P42">
        <v>3981014348</v>
      </c>
      <c r="Q42" s="1" t="s">
        <v>276</v>
      </c>
      <c r="R42">
        <v>-143</v>
      </c>
      <c r="S42">
        <v>-19.25</v>
      </c>
      <c r="T42">
        <f t="shared" si="1"/>
        <v>24.566849946975708</v>
      </c>
      <c r="V42">
        <v>2129367368</v>
      </c>
      <c r="W42" s="1" t="s">
        <v>68</v>
      </c>
      <c r="AA42" s="1"/>
    </row>
    <row r="43" spans="1:27" x14ac:dyDescent="0.2">
      <c r="B43" s="1"/>
      <c r="I43">
        <v>2342750525</v>
      </c>
      <c r="J43" s="1" t="s">
        <v>160</v>
      </c>
      <c r="K43">
        <v>-144</v>
      </c>
      <c r="L43">
        <v>-18.5</v>
      </c>
      <c r="N43">
        <v>242</v>
      </c>
      <c r="O43">
        <v>1782149892.1447599</v>
      </c>
      <c r="P43">
        <v>2496574797</v>
      </c>
      <c r="Q43" s="1" t="s">
        <v>277</v>
      </c>
      <c r="R43">
        <v>-142</v>
      </c>
      <c r="S43">
        <v>-17.5</v>
      </c>
      <c r="T43">
        <f t="shared" si="1"/>
        <v>25.290160179138184</v>
      </c>
      <c r="V43">
        <v>4008387914</v>
      </c>
      <c r="W43" s="1" t="s">
        <v>69</v>
      </c>
      <c r="AA43" s="1"/>
    </row>
    <row r="44" spans="1:27" x14ac:dyDescent="0.2">
      <c r="B44" s="1"/>
      <c r="I44">
        <v>3348622655</v>
      </c>
      <c r="J44" s="1" t="s">
        <v>161</v>
      </c>
      <c r="N44">
        <v>246</v>
      </c>
      <c r="O44">
        <v>1782149912.5985301</v>
      </c>
      <c r="P44">
        <v>440766801</v>
      </c>
      <c r="Q44" s="1" t="s">
        <v>278</v>
      </c>
      <c r="R44">
        <v>-132</v>
      </c>
      <c r="S44">
        <v>-9.25</v>
      </c>
      <c r="T44">
        <f t="shared" si="1"/>
        <v>10.092239856719971</v>
      </c>
      <c r="V44">
        <v>2129367368</v>
      </c>
      <c r="W44" s="1" t="s">
        <v>70</v>
      </c>
      <c r="X44">
        <v>-144</v>
      </c>
      <c r="Y44">
        <v>-20.25</v>
      </c>
      <c r="AA44" s="1"/>
    </row>
    <row r="45" spans="1:27" x14ac:dyDescent="0.2">
      <c r="B45" s="1"/>
      <c r="I45">
        <v>3348622655</v>
      </c>
      <c r="J45" s="1" t="s">
        <v>162</v>
      </c>
      <c r="K45">
        <v>-143</v>
      </c>
      <c r="L45">
        <v>-17.75</v>
      </c>
      <c r="N45">
        <v>245</v>
      </c>
      <c r="O45">
        <v>1782149907.4858799</v>
      </c>
      <c r="P45">
        <v>2766570832</v>
      </c>
      <c r="Q45" s="1" t="s">
        <v>279</v>
      </c>
      <c r="R45">
        <v>-133</v>
      </c>
      <c r="S45">
        <v>-9.5</v>
      </c>
      <c r="T45">
        <f t="shared" si="1"/>
        <v>16.523210048675537</v>
      </c>
      <c r="V45">
        <v>3297219915</v>
      </c>
      <c r="W45">
        <v>1782149887.5537701</v>
      </c>
    </row>
    <row r="46" spans="1:27" x14ac:dyDescent="0.2">
      <c r="B46" s="1"/>
      <c r="I46">
        <v>1016746305</v>
      </c>
      <c r="J46" s="1" t="s">
        <v>163</v>
      </c>
      <c r="N46">
        <v>247</v>
      </c>
      <c r="O46">
        <v>1782149917.7142899</v>
      </c>
      <c r="P46">
        <v>1894043986</v>
      </c>
      <c r="Q46" s="1" t="s">
        <v>280</v>
      </c>
      <c r="R46">
        <v>-133</v>
      </c>
      <c r="S46">
        <v>-10</v>
      </c>
      <c r="T46">
        <f t="shared" si="1"/>
        <v>13.920180082321167</v>
      </c>
      <c r="V46">
        <v>1684068687</v>
      </c>
      <c r="W46" s="1" t="s">
        <v>71</v>
      </c>
      <c r="AA46" s="1"/>
    </row>
    <row r="47" spans="1:27" x14ac:dyDescent="0.2">
      <c r="B47" s="1"/>
      <c r="I47">
        <v>1016746305</v>
      </c>
      <c r="J47">
        <v>1782219155.28737</v>
      </c>
      <c r="K47">
        <v>-142</v>
      </c>
      <c r="L47">
        <v>-17.5</v>
      </c>
      <c r="N47">
        <v>249</v>
      </c>
      <c r="O47">
        <v>1782149927.94559</v>
      </c>
      <c r="P47">
        <v>3809958228</v>
      </c>
      <c r="Q47" s="1" t="s">
        <v>281</v>
      </c>
      <c r="R47">
        <v>-133</v>
      </c>
      <c r="S47">
        <v>-10.25</v>
      </c>
      <c r="T47">
        <f t="shared" si="1"/>
        <v>4.4875500202178955</v>
      </c>
      <c r="V47">
        <v>3981014348</v>
      </c>
      <c r="W47" s="1" t="s">
        <v>72</v>
      </c>
      <c r="AA47" s="1"/>
    </row>
    <row r="48" spans="1:27" x14ac:dyDescent="0.2">
      <c r="B48" s="1"/>
      <c r="I48">
        <v>4255248706</v>
      </c>
      <c r="J48" s="1" t="s">
        <v>164</v>
      </c>
      <c r="N48">
        <v>250</v>
      </c>
      <c r="O48">
        <v>1782149933.0610399</v>
      </c>
      <c r="P48">
        <v>3549700437</v>
      </c>
      <c r="Q48" s="1" t="s">
        <v>282</v>
      </c>
      <c r="R48">
        <v>-138</v>
      </c>
      <c r="S48">
        <v>-14.25</v>
      </c>
      <c r="T48">
        <f t="shared" si="1"/>
        <v>11.316580057144165</v>
      </c>
      <c r="V48">
        <v>3981014348</v>
      </c>
      <c r="W48" s="1" t="s">
        <v>73</v>
      </c>
      <c r="X48">
        <v>-143</v>
      </c>
      <c r="Y48">
        <v>-17.5</v>
      </c>
      <c r="AA48" s="1"/>
    </row>
    <row r="49" spans="2:27" x14ac:dyDescent="0.2">
      <c r="B49" s="1"/>
      <c r="I49">
        <v>4255248706</v>
      </c>
      <c r="J49" s="1" t="s">
        <v>165</v>
      </c>
      <c r="K49">
        <v>-142</v>
      </c>
      <c r="L49">
        <v>-16.75</v>
      </c>
      <c r="N49">
        <v>251</v>
      </c>
      <c r="O49">
        <v>1782149938.17152</v>
      </c>
      <c r="P49">
        <v>3572359510</v>
      </c>
      <c r="Q49" s="1" t="s">
        <v>283</v>
      </c>
      <c r="R49">
        <v>-136</v>
      </c>
      <c r="S49">
        <v>-11.75</v>
      </c>
      <c r="T49">
        <f t="shared" si="1"/>
        <v>25.646070003509521</v>
      </c>
      <c r="V49">
        <v>2496574797</v>
      </c>
      <c r="W49" s="1" t="s">
        <v>74</v>
      </c>
      <c r="AA49" s="1"/>
    </row>
    <row r="50" spans="2:27" x14ac:dyDescent="0.2">
      <c r="B50" s="1"/>
      <c r="I50">
        <v>2879746371</v>
      </c>
      <c r="J50" s="1" t="s">
        <v>166</v>
      </c>
      <c r="N50">
        <v>260</v>
      </c>
      <c r="O50">
        <v>1782149984.1900799</v>
      </c>
      <c r="P50">
        <v>2314200415</v>
      </c>
      <c r="Q50" s="1" t="s">
        <v>284</v>
      </c>
      <c r="R50">
        <v>-133</v>
      </c>
      <c r="S50">
        <v>-10</v>
      </c>
      <c r="T50">
        <f t="shared" si="1"/>
        <v>4.4551200866699219</v>
      </c>
      <c r="V50">
        <v>2496574797</v>
      </c>
      <c r="W50" s="1" t="s">
        <v>75</v>
      </c>
      <c r="X50">
        <v>-143</v>
      </c>
      <c r="Y50">
        <v>-18.5</v>
      </c>
      <c r="AA50" s="1"/>
    </row>
    <row r="51" spans="2:27" x14ac:dyDescent="0.2">
      <c r="B51" s="1"/>
      <c r="I51">
        <v>2879746371</v>
      </c>
      <c r="J51" s="1" t="s">
        <v>167</v>
      </c>
      <c r="K51">
        <v>-146</v>
      </c>
      <c r="L51">
        <v>-19.75</v>
      </c>
      <c r="N51">
        <v>261</v>
      </c>
      <c r="O51">
        <v>1782149989.30281</v>
      </c>
      <c r="P51">
        <v>3176800</v>
      </c>
      <c r="Q51" s="1" t="s">
        <v>285</v>
      </c>
      <c r="R51">
        <v>-136</v>
      </c>
      <c r="S51">
        <v>-11.75</v>
      </c>
      <c r="T51">
        <f t="shared" si="1"/>
        <v>5.0824201107025146</v>
      </c>
      <c r="V51">
        <v>2766570832</v>
      </c>
      <c r="W51" s="1" t="s">
        <v>76</v>
      </c>
      <c r="AA51" s="1"/>
    </row>
    <row r="52" spans="2:27" x14ac:dyDescent="0.2">
      <c r="B52" s="1"/>
      <c r="I52">
        <v>3901862212</v>
      </c>
      <c r="J52">
        <v>1782219347.37552</v>
      </c>
      <c r="N52">
        <v>258</v>
      </c>
      <c r="O52">
        <v>1782149973.9631701</v>
      </c>
      <c r="P52">
        <v>1608693085</v>
      </c>
      <c r="Q52" s="1" t="s">
        <v>286</v>
      </c>
      <c r="R52">
        <v>-138</v>
      </c>
      <c r="S52">
        <v>-15</v>
      </c>
      <c r="T52">
        <f t="shared" si="1"/>
        <v>23.758669853210449</v>
      </c>
      <c r="V52">
        <v>3809958228</v>
      </c>
      <c r="W52" s="1" t="s">
        <v>77</v>
      </c>
      <c r="X52">
        <v>-143</v>
      </c>
      <c r="Y52">
        <v>-19.25</v>
      </c>
      <c r="AA52" s="1"/>
    </row>
    <row r="53" spans="2:27" x14ac:dyDescent="0.2">
      <c r="B53" s="1"/>
      <c r="I53">
        <v>4262648133</v>
      </c>
      <c r="J53" s="1" t="s">
        <v>168</v>
      </c>
      <c r="N53">
        <v>262</v>
      </c>
      <c r="O53">
        <v>1782149994.4214499</v>
      </c>
      <c r="P53">
        <v>1856026977</v>
      </c>
      <c r="Q53" s="1" t="s">
        <v>287</v>
      </c>
      <c r="R53">
        <v>-138</v>
      </c>
      <c r="S53">
        <v>-14</v>
      </c>
      <c r="T53">
        <f t="shared" si="1"/>
        <v>14.990509986877441</v>
      </c>
      <c r="V53">
        <v>3549700437</v>
      </c>
      <c r="W53" s="1" t="s">
        <v>78</v>
      </c>
      <c r="AA53" s="1"/>
    </row>
    <row r="54" spans="2:27" x14ac:dyDescent="0.2">
      <c r="B54" s="1"/>
      <c r="I54">
        <v>4262648133</v>
      </c>
      <c r="J54" s="1" t="s">
        <v>169</v>
      </c>
      <c r="K54">
        <v>-141</v>
      </c>
      <c r="L54">
        <v>-16</v>
      </c>
      <c r="N54">
        <v>266</v>
      </c>
      <c r="O54">
        <v>1782150014.8803699</v>
      </c>
      <c r="P54">
        <v>1332338021</v>
      </c>
      <c r="Q54" s="1" t="s">
        <v>288</v>
      </c>
      <c r="R54">
        <v>-139</v>
      </c>
      <c r="S54">
        <v>-15.25</v>
      </c>
      <c r="T54">
        <f t="shared" si="1"/>
        <v>5.0503602027893066</v>
      </c>
      <c r="V54">
        <v>3549700437</v>
      </c>
      <c r="W54" s="1" t="s">
        <v>79</v>
      </c>
      <c r="X54">
        <v>-145</v>
      </c>
      <c r="Y54">
        <v>-19.5</v>
      </c>
      <c r="AA54" s="1"/>
    </row>
    <row r="55" spans="2:27" x14ac:dyDescent="0.2">
      <c r="B55" s="1"/>
      <c r="I55">
        <v>4286898504</v>
      </c>
      <c r="J55" s="1" t="s">
        <v>170</v>
      </c>
      <c r="N55">
        <v>264</v>
      </c>
      <c r="O55">
        <v>1782150004.64557</v>
      </c>
      <c r="P55">
        <v>1851052387</v>
      </c>
      <c r="Q55" s="1" t="s">
        <v>289</v>
      </c>
      <c r="R55">
        <v>-137</v>
      </c>
      <c r="S55">
        <v>-13</v>
      </c>
      <c r="T55">
        <f t="shared" si="1"/>
        <v>16.541189908981323</v>
      </c>
      <c r="V55">
        <v>3572359510</v>
      </c>
      <c r="W55" s="1" t="s">
        <v>80</v>
      </c>
      <c r="AA55" s="1"/>
    </row>
    <row r="56" spans="2:27" x14ac:dyDescent="0.2">
      <c r="B56" s="1"/>
      <c r="I56">
        <v>1234627914</v>
      </c>
      <c r="J56" s="1" t="s">
        <v>171</v>
      </c>
      <c r="N56">
        <v>263</v>
      </c>
      <c r="O56">
        <v>1782149999.5255401</v>
      </c>
      <c r="P56">
        <v>2703264098</v>
      </c>
      <c r="Q56" s="1" t="s">
        <v>290</v>
      </c>
      <c r="R56">
        <v>-136</v>
      </c>
      <c r="S56">
        <v>-11.5</v>
      </c>
      <c r="T56">
        <f t="shared" si="1"/>
        <v>29.790159940719604</v>
      </c>
      <c r="V56">
        <v>3572359510</v>
      </c>
      <c r="W56" s="1" t="s">
        <v>81</v>
      </c>
      <c r="X56">
        <v>-142</v>
      </c>
      <c r="Y56">
        <v>-17.5</v>
      </c>
      <c r="AA56" s="1"/>
    </row>
    <row r="57" spans="2:27" x14ac:dyDescent="0.2">
      <c r="B57" s="1"/>
      <c r="I57">
        <v>1234627914</v>
      </c>
      <c r="J57" s="1" t="s">
        <v>172</v>
      </c>
      <c r="K57">
        <v>-142</v>
      </c>
      <c r="L57">
        <v>-17</v>
      </c>
      <c r="N57">
        <v>270</v>
      </c>
      <c r="O57">
        <v>1782150035.3422301</v>
      </c>
      <c r="P57">
        <v>2088407401</v>
      </c>
      <c r="Q57" s="1" t="s">
        <v>291</v>
      </c>
      <c r="R57">
        <v>-136</v>
      </c>
      <c r="S57">
        <v>-11.75</v>
      </c>
      <c r="T57">
        <f t="shared" si="1"/>
        <v>5.149399995803833</v>
      </c>
      <c r="V57">
        <v>2314200415</v>
      </c>
      <c r="W57" s="1" t="s">
        <v>82</v>
      </c>
      <c r="X57">
        <v>-142</v>
      </c>
      <c r="Y57">
        <v>-17.5</v>
      </c>
      <c r="AA57" s="1"/>
    </row>
    <row r="58" spans="2:27" x14ac:dyDescent="0.2">
      <c r="B58" s="1"/>
      <c r="I58">
        <v>850043211</v>
      </c>
      <c r="J58" s="1" t="s">
        <v>173</v>
      </c>
      <c r="N58">
        <v>269</v>
      </c>
      <c r="O58">
        <v>1782150030.2262399</v>
      </c>
      <c r="P58">
        <v>3296443752</v>
      </c>
      <c r="Q58" s="1" t="s">
        <v>292</v>
      </c>
      <c r="R58">
        <v>-139</v>
      </c>
      <c r="S58">
        <v>-15.75</v>
      </c>
      <c r="T58">
        <f t="shared" si="1"/>
        <v>12.685470104217529</v>
      </c>
      <c r="V58">
        <v>3176800</v>
      </c>
      <c r="W58" s="1" t="s">
        <v>83</v>
      </c>
      <c r="X58">
        <v>-143</v>
      </c>
      <c r="Y58">
        <v>-19.25</v>
      </c>
      <c r="AA58" s="1"/>
    </row>
    <row r="59" spans="2:27" x14ac:dyDescent="0.2">
      <c r="B59" s="1"/>
      <c r="I59">
        <v>850043211</v>
      </c>
      <c r="J59" s="1" t="s">
        <v>174</v>
      </c>
      <c r="K59">
        <v>-143</v>
      </c>
      <c r="L59">
        <v>-18.25</v>
      </c>
      <c r="N59">
        <v>267</v>
      </c>
      <c r="O59">
        <v>1782150019.9960101</v>
      </c>
      <c r="P59">
        <v>3613459814</v>
      </c>
      <c r="Q59" s="1" t="s">
        <v>293</v>
      </c>
      <c r="R59">
        <v>-136</v>
      </c>
      <c r="S59">
        <v>-13.25</v>
      </c>
      <c r="T59">
        <f t="shared" si="1"/>
        <v>31.235309839248657</v>
      </c>
      <c r="V59">
        <v>1856026977</v>
      </c>
      <c r="W59" s="1" t="s">
        <v>84</v>
      </c>
      <c r="AA59" s="1"/>
    </row>
    <row r="60" spans="2:27" x14ac:dyDescent="0.2">
      <c r="B60" s="1"/>
      <c r="I60">
        <v>2852303181</v>
      </c>
      <c r="J60" s="1" t="s">
        <v>175</v>
      </c>
      <c r="N60">
        <v>268</v>
      </c>
      <c r="O60">
        <v>1782150025.09934</v>
      </c>
      <c r="P60">
        <v>764050791</v>
      </c>
      <c r="Q60" s="1" t="s">
        <v>294</v>
      </c>
      <c r="R60">
        <v>-141</v>
      </c>
      <c r="S60">
        <v>-17.75</v>
      </c>
      <c r="T60">
        <f t="shared" si="1"/>
        <v>33.296339988708496</v>
      </c>
      <c r="V60">
        <v>1856026977</v>
      </c>
      <c r="W60" s="1" t="s">
        <v>85</v>
      </c>
      <c r="X60">
        <v>-145</v>
      </c>
      <c r="Y60">
        <v>-19.5</v>
      </c>
      <c r="AA60" s="1"/>
    </row>
    <row r="61" spans="2:27" x14ac:dyDescent="0.2">
      <c r="B61" s="1"/>
      <c r="I61">
        <v>3551333710</v>
      </c>
      <c r="J61" s="1" t="s">
        <v>176</v>
      </c>
      <c r="N61">
        <v>275</v>
      </c>
      <c r="O61">
        <v>1782150060.9247899</v>
      </c>
      <c r="P61">
        <v>1204970862</v>
      </c>
      <c r="Q61" s="1" t="s">
        <v>295</v>
      </c>
      <c r="R61">
        <v>-142</v>
      </c>
      <c r="S61">
        <v>-17.5</v>
      </c>
      <c r="T61">
        <f t="shared" si="1"/>
        <v>6.7184100151062012</v>
      </c>
      <c r="V61">
        <v>1851052387</v>
      </c>
      <c r="W61" s="1" t="s">
        <v>86</v>
      </c>
      <c r="AA61" s="1"/>
    </row>
    <row r="62" spans="2:27" x14ac:dyDescent="0.2">
      <c r="B62" s="1"/>
      <c r="I62">
        <v>3156333906</v>
      </c>
      <c r="J62" s="1" t="s">
        <v>177</v>
      </c>
      <c r="K62">
        <v>-141</v>
      </c>
      <c r="L62">
        <v>-18.25</v>
      </c>
      <c r="N62">
        <v>272</v>
      </c>
      <c r="O62">
        <v>1782150045.5717001</v>
      </c>
      <c r="P62">
        <v>2050581867</v>
      </c>
      <c r="Q62" s="1" t="s">
        <v>296</v>
      </c>
      <c r="R62">
        <v>-134</v>
      </c>
      <c r="S62">
        <v>-10.25</v>
      </c>
      <c r="T62">
        <f t="shared" si="1"/>
        <v>26.780019998550415</v>
      </c>
      <c r="V62">
        <v>1851052387</v>
      </c>
      <c r="W62" s="1" t="s">
        <v>87</v>
      </c>
      <c r="X62">
        <v>-141</v>
      </c>
      <c r="Y62">
        <v>-17</v>
      </c>
      <c r="AA62" s="1"/>
    </row>
    <row r="63" spans="2:27" x14ac:dyDescent="0.2">
      <c r="B63" s="1"/>
      <c r="I63">
        <v>2485838165</v>
      </c>
      <c r="J63" s="1" t="s">
        <v>178</v>
      </c>
      <c r="N63">
        <v>273</v>
      </c>
      <c r="O63">
        <v>1782150050.68332</v>
      </c>
      <c r="P63">
        <v>3442804076</v>
      </c>
      <c r="Q63" s="1" t="s">
        <v>297</v>
      </c>
      <c r="R63">
        <v>-134</v>
      </c>
      <c r="S63">
        <v>-10.75</v>
      </c>
      <c r="T63">
        <f t="shared" si="1"/>
        <v>33.397599935531616</v>
      </c>
      <c r="V63">
        <v>2703264098</v>
      </c>
      <c r="W63">
        <v>1782150028.9820499</v>
      </c>
    </row>
    <row r="64" spans="2:27" x14ac:dyDescent="0.2">
      <c r="B64" s="1"/>
      <c r="I64">
        <v>2485838165</v>
      </c>
      <c r="J64" s="1" t="s">
        <v>179</v>
      </c>
      <c r="K64">
        <v>-142</v>
      </c>
      <c r="L64">
        <v>-17.5</v>
      </c>
      <c r="N64">
        <v>280</v>
      </c>
      <c r="O64">
        <v>1782150086.4765899</v>
      </c>
      <c r="P64">
        <v>966058355</v>
      </c>
      <c r="Q64" s="1" t="s">
        <v>298</v>
      </c>
      <c r="R64">
        <v>-134</v>
      </c>
      <c r="S64">
        <v>-10.5</v>
      </c>
      <c r="T64">
        <f t="shared" si="1"/>
        <v>3.2853400707244873</v>
      </c>
      <c r="V64">
        <v>1332338021</v>
      </c>
      <c r="W64" s="1" t="s">
        <v>88</v>
      </c>
      <c r="AA64" s="1"/>
    </row>
    <row r="65" spans="2:27" x14ac:dyDescent="0.2">
      <c r="B65" s="1"/>
      <c r="I65">
        <v>3026398550</v>
      </c>
      <c r="J65" s="1" t="s">
        <v>180</v>
      </c>
      <c r="N65">
        <v>279</v>
      </c>
      <c r="O65">
        <v>1782150081.37184</v>
      </c>
      <c r="P65">
        <v>3868411250</v>
      </c>
      <c r="Q65" s="1" t="s">
        <v>299</v>
      </c>
      <c r="R65">
        <v>-138</v>
      </c>
      <c r="S65">
        <v>-15</v>
      </c>
      <c r="T65">
        <f t="shared" si="1"/>
        <v>15.155380010604858</v>
      </c>
      <c r="V65">
        <v>2703264098</v>
      </c>
      <c r="W65" s="1" t="s">
        <v>89</v>
      </c>
      <c r="X65">
        <v>-141</v>
      </c>
      <c r="Y65">
        <v>-16.75</v>
      </c>
      <c r="AA65" s="1"/>
    </row>
    <row r="66" spans="2:27" x14ac:dyDescent="0.2">
      <c r="B66" s="1"/>
      <c r="I66">
        <v>1145868632</v>
      </c>
      <c r="J66" s="1" t="s">
        <v>181</v>
      </c>
      <c r="N66">
        <v>285</v>
      </c>
      <c r="O66">
        <v>1782150112.0349901</v>
      </c>
      <c r="P66">
        <v>2517927288</v>
      </c>
      <c r="Q66" s="1" t="s">
        <v>300</v>
      </c>
      <c r="R66">
        <v>-134</v>
      </c>
      <c r="S66">
        <v>-11.25</v>
      </c>
      <c r="T66">
        <f t="shared" si="1"/>
        <v>4.4371399879455566</v>
      </c>
      <c r="V66">
        <v>1332338021</v>
      </c>
      <c r="W66" s="1" t="s">
        <v>90</v>
      </c>
      <c r="X66">
        <v>-141</v>
      </c>
      <c r="Y66">
        <v>-16</v>
      </c>
      <c r="AA66" s="1"/>
    </row>
    <row r="67" spans="2:27" x14ac:dyDescent="0.2">
      <c r="B67" s="1"/>
      <c r="I67">
        <v>1145868632</v>
      </c>
      <c r="J67" s="1" t="s">
        <v>182</v>
      </c>
      <c r="K67">
        <v>-144</v>
      </c>
      <c r="L67">
        <v>-19.75</v>
      </c>
      <c r="N67">
        <v>283</v>
      </c>
      <c r="O67">
        <v>1782150101.8071301</v>
      </c>
      <c r="P67">
        <v>253067638</v>
      </c>
      <c r="Q67" s="1" t="s">
        <v>301</v>
      </c>
      <c r="R67">
        <v>-137</v>
      </c>
      <c r="S67">
        <v>-13</v>
      </c>
      <c r="T67">
        <f t="shared" ref="T67:T79" si="2">Q67-O67</f>
        <v>15.845779895782471</v>
      </c>
      <c r="V67">
        <v>3296443752</v>
      </c>
      <c r="W67">
        <v>1782150037.0652001</v>
      </c>
    </row>
    <row r="68" spans="2:27" x14ac:dyDescent="0.2">
      <c r="B68" s="1"/>
      <c r="I68">
        <v>4050427225</v>
      </c>
      <c r="J68">
        <v>1782220597.7213399</v>
      </c>
      <c r="K68">
        <v>-143</v>
      </c>
      <c r="L68">
        <v>-18.75</v>
      </c>
      <c r="N68">
        <v>286</v>
      </c>
      <c r="O68">
        <v>1782150117.1526501</v>
      </c>
      <c r="P68">
        <v>2581238137</v>
      </c>
      <c r="Q68" s="1" t="s">
        <v>302</v>
      </c>
      <c r="R68">
        <v>-141</v>
      </c>
      <c r="S68">
        <v>-17.5</v>
      </c>
      <c r="T68">
        <f t="shared" si="2"/>
        <v>13.347949981689453</v>
      </c>
      <c r="V68">
        <v>2088407401</v>
      </c>
      <c r="W68" s="1" t="s">
        <v>91</v>
      </c>
      <c r="AA68" s="1"/>
    </row>
    <row r="69" spans="2:27" x14ac:dyDescent="0.2">
      <c r="B69" s="1"/>
      <c r="I69">
        <v>744029530</v>
      </c>
      <c r="J69" s="1" t="s">
        <v>183</v>
      </c>
      <c r="K69">
        <v>-144</v>
      </c>
      <c r="L69">
        <v>-19.5</v>
      </c>
      <c r="N69">
        <v>289</v>
      </c>
      <c r="O69">
        <v>1782150132.50279</v>
      </c>
      <c r="P69">
        <v>1307697532</v>
      </c>
      <c r="Q69" s="1" t="s">
        <v>303</v>
      </c>
      <c r="R69">
        <v>-133</v>
      </c>
      <c r="S69">
        <v>-9.75</v>
      </c>
      <c r="T69">
        <f t="shared" si="2"/>
        <v>5.4510500431060791</v>
      </c>
      <c r="V69">
        <v>3613459814</v>
      </c>
      <c r="W69" s="1" t="s">
        <v>92</v>
      </c>
      <c r="AA69" s="1"/>
    </row>
    <row r="70" spans="2:27" x14ac:dyDescent="0.2">
      <c r="B70" s="1"/>
      <c r="I70">
        <v>3634305413</v>
      </c>
      <c r="J70" s="1" t="s">
        <v>184</v>
      </c>
      <c r="N70">
        <v>288</v>
      </c>
      <c r="O70">
        <v>1782150127.3852</v>
      </c>
      <c r="P70">
        <v>1811584379</v>
      </c>
      <c r="Q70" s="1" t="s">
        <v>304</v>
      </c>
      <c r="R70">
        <v>-140</v>
      </c>
      <c r="S70">
        <v>-16</v>
      </c>
      <c r="T70">
        <f t="shared" si="2"/>
        <v>25.006319999694824</v>
      </c>
      <c r="V70">
        <v>3613459814</v>
      </c>
      <c r="W70" s="1" t="s">
        <v>93</v>
      </c>
      <c r="X70">
        <v>-141</v>
      </c>
      <c r="Y70">
        <v>-16.75</v>
      </c>
      <c r="AA70" s="1"/>
    </row>
    <row r="71" spans="2:27" x14ac:dyDescent="0.2">
      <c r="B71" s="1"/>
      <c r="I71">
        <v>3634305413</v>
      </c>
      <c r="J71">
        <v>1782221162.7520299</v>
      </c>
      <c r="K71">
        <v>-141</v>
      </c>
      <c r="L71">
        <v>-17</v>
      </c>
      <c r="N71">
        <v>290</v>
      </c>
      <c r="O71">
        <v>1782150137.6324</v>
      </c>
      <c r="P71">
        <v>3307310461</v>
      </c>
      <c r="Q71" s="1" t="s">
        <v>305</v>
      </c>
      <c r="R71">
        <v>-136</v>
      </c>
      <c r="S71">
        <v>-13.25</v>
      </c>
      <c r="T71">
        <f t="shared" si="2"/>
        <v>24.74702000617981</v>
      </c>
      <c r="V71">
        <v>764050791</v>
      </c>
      <c r="W71" s="1" t="s">
        <v>94</v>
      </c>
      <c r="AA71" s="1"/>
    </row>
    <row r="72" spans="2:27" x14ac:dyDescent="0.2">
      <c r="B72" s="1"/>
      <c r="I72">
        <v>2745722246</v>
      </c>
      <c r="J72" s="1" t="s">
        <v>185</v>
      </c>
      <c r="N72">
        <v>292</v>
      </c>
      <c r="O72">
        <v>1782150147.86836</v>
      </c>
      <c r="P72">
        <v>3855499647</v>
      </c>
      <c r="Q72" s="1" t="s">
        <v>306</v>
      </c>
      <c r="R72">
        <v>-143</v>
      </c>
      <c r="S72">
        <v>-18.5</v>
      </c>
      <c r="T72">
        <f t="shared" si="2"/>
        <v>16.368160009384155</v>
      </c>
      <c r="V72">
        <v>1204970862</v>
      </c>
      <c r="W72" s="1" t="s">
        <v>95</v>
      </c>
      <c r="AA72" s="1"/>
    </row>
    <row r="73" spans="2:27" x14ac:dyDescent="0.2">
      <c r="B73" s="1"/>
      <c r="I73">
        <v>2745722246</v>
      </c>
      <c r="J73">
        <v>1782221223.17536</v>
      </c>
      <c r="K73">
        <v>-142</v>
      </c>
      <c r="L73">
        <v>-19.75</v>
      </c>
      <c r="N73">
        <v>291</v>
      </c>
      <c r="O73">
        <v>1782150142.74861</v>
      </c>
      <c r="P73">
        <v>3391189374</v>
      </c>
      <c r="Q73" s="1" t="s">
        <v>307</v>
      </c>
      <c r="R73">
        <v>-141</v>
      </c>
      <c r="S73">
        <v>-16.75</v>
      </c>
      <c r="T73">
        <f t="shared" si="2"/>
        <v>25.202349901199341</v>
      </c>
      <c r="V73">
        <v>2050581867</v>
      </c>
      <c r="W73" s="1" t="s">
        <v>96</v>
      </c>
      <c r="AA73" s="1"/>
    </row>
    <row r="74" spans="2:27" x14ac:dyDescent="0.2">
      <c r="B74" s="1"/>
      <c r="I74">
        <v>1637025159</v>
      </c>
      <c r="J74" s="1" t="s">
        <v>186</v>
      </c>
      <c r="N74">
        <v>296</v>
      </c>
      <c r="O74">
        <v>1782150168.31674</v>
      </c>
      <c r="P74">
        <v>3902504323</v>
      </c>
      <c r="Q74" s="1" t="s">
        <v>308</v>
      </c>
      <c r="R74">
        <v>-139</v>
      </c>
      <c r="S74">
        <v>-15.25</v>
      </c>
      <c r="T74">
        <f t="shared" si="2"/>
        <v>5.5362699031829834</v>
      </c>
      <c r="V74">
        <v>3250457965</v>
      </c>
      <c r="W74" s="1" t="s">
        <v>97</v>
      </c>
      <c r="AA74" s="1"/>
    </row>
    <row r="75" spans="2:27" x14ac:dyDescent="0.2">
      <c r="I75">
        <v>4220239240</v>
      </c>
      <c r="J75" s="1" t="s">
        <v>187</v>
      </c>
      <c r="K75">
        <v>-142</v>
      </c>
      <c r="L75">
        <v>-19</v>
      </c>
      <c r="N75">
        <v>294</v>
      </c>
      <c r="O75">
        <v>1782150158.0927999</v>
      </c>
      <c r="P75">
        <v>795987329</v>
      </c>
      <c r="Q75" s="1" t="s">
        <v>309</v>
      </c>
      <c r="R75">
        <v>-140</v>
      </c>
      <c r="S75">
        <v>-14.5</v>
      </c>
      <c r="T75">
        <f t="shared" si="2"/>
        <v>16.946410179138184</v>
      </c>
      <c r="V75">
        <v>1396898160</v>
      </c>
      <c r="W75" s="1" t="s">
        <v>98</v>
      </c>
      <c r="AA75" s="1"/>
    </row>
    <row r="76" spans="2:27" x14ac:dyDescent="0.2">
      <c r="B76" s="1"/>
      <c r="I76">
        <v>3932406153</v>
      </c>
      <c r="J76" s="1" t="s">
        <v>188</v>
      </c>
      <c r="N76">
        <v>298</v>
      </c>
      <c r="O76">
        <v>1782150178.55018</v>
      </c>
      <c r="P76">
        <v>3476572549</v>
      </c>
      <c r="Q76" s="1" t="s">
        <v>310</v>
      </c>
      <c r="R76">
        <v>-140</v>
      </c>
      <c r="S76">
        <v>-17</v>
      </c>
      <c r="T76">
        <f t="shared" si="2"/>
        <v>4.0722601413726807</v>
      </c>
      <c r="V76">
        <v>1204970862</v>
      </c>
      <c r="W76" s="1" t="s">
        <v>99</v>
      </c>
      <c r="X76">
        <v>-144</v>
      </c>
      <c r="Y76">
        <v>-18.5</v>
      </c>
      <c r="AA76" s="1"/>
    </row>
    <row r="77" spans="2:27" x14ac:dyDescent="0.2">
      <c r="B77" s="1"/>
      <c r="I77">
        <v>1470798218</v>
      </c>
      <c r="J77" s="1" t="s">
        <v>189</v>
      </c>
      <c r="N77">
        <v>299</v>
      </c>
      <c r="O77">
        <v>1782150183.65977</v>
      </c>
      <c r="P77">
        <v>3139331462</v>
      </c>
      <c r="Q77" s="1" t="s">
        <v>311</v>
      </c>
      <c r="R77">
        <v>-135</v>
      </c>
      <c r="S77">
        <v>-10.5</v>
      </c>
      <c r="T77">
        <f t="shared" si="2"/>
        <v>3.7019798755645752</v>
      </c>
      <c r="V77">
        <v>3442804076</v>
      </c>
      <c r="W77" s="1" t="s">
        <v>100</v>
      </c>
      <c r="AA77" s="1"/>
    </row>
    <row r="78" spans="2:27" x14ac:dyDescent="0.2">
      <c r="B78" s="1"/>
      <c r="I78">
        <v>548419979</v>
      </c>
      <c r="J78" s="1" t="s">
        <v>190</v>
      </c>
      <c r="N78">
        <v>295</v>
      </c>
      <c r="O78">
        <v>1782150163.2056201</v>
      </c>
      <c r="P78">
        <v>358567298</v>
      </c>
      <c r="Q78" s="1" t="s">
        <v>312</v>
      </c>
      <c r="R78">
        <v>-135</v>
      </c>
      <c r="S78">
        <v>-13</v>
      </c>
      <c r="T78">
        <f t="shared" si="2"/>
        <v>30.015379905700684</v>
      </c>
      <c r="V78">
        <v>532339055</v>
      </c>
      <c r="W78" s="1" t="s">
        <v>101</v>
      </c>
      <c r="AA78" s="1"/>
    </row>
    <row r="79" spans="2:27" x14ac:dyDescent="0.2">
      <c r="B79" s="1"/>
      <c r="I79">
        <v>548419979</v>
      </c>
      <c r="J79" s="1" t="s">
        <v>191</v>
      </c>
      <c r="K79">
        <v>-141</v>
      </c>
      <c r="L79">
        <v>-18.5</v>
      </c>
      <c r="N79">
        <v>300</v>
      </c>
      <c r="O79">
        <v>1782150188.7778499</v>
      </c>
      <c r="P79">
        <v>1155391879</v>
      </c>
      <c r="Q79" s="1" t="s">
        <v>313</v>
      </c>
      <c r="R79">
        <v>-139</v>
      </c>
      <c r="S79">
        <v>-15</v>
      </c>
      <c r="T79">
        <f t="shared" si="2"/>
        <v>5.6877601146697998</v>
      </c>
      <c r="V79">
        <v>3868411250</v>
      </c>
      <c r="W79" s="1" t="s">
        <v>102</v>
      </c>
      <c r="AA79" s="1"/>
    </row>
    <row r="80" spans="2:27" x14ac:dyDescent="0.2">
      <c r="B80" s="1"/>
      <c r="I80">
        <v>2627632525</v>
      </c>
      <c r="J80" s="1" t="s">
        <v>192</v>
      </c>
      <c r="V80">
        <v>966058355</v>
      </c>
      <c r="W80" s="1" t="s">
        <v>103</v>
      </c>
      <c r="X80">
        <v>-141</v>
      </c>
      <c r="Y80">
        <v>-17.25</v>
      </c>
      <c r="AA80" s="1"/>
    </row>
    <row r="81" spans="2:27" x14ac:dyDescent="0.2">
      <c r="B81" s="1"/>
      <c r="I81">
        <v>2627632525</v>
      </c>
      <c r="J81" s="1" t="s">
        <v>193</v>
      </c>
      <c r="K81">
        <v>-142</v>
      </c>
      <c r="L81">
        <v>-19</v>
      </c>
      <c r="V81">
        <v>885075316</v>
      </c>
      <c r="W81" s="1" t="s">
        <v>104</v>
      </c>
      <c r="AA81" s="1"/>
    </row>
    <row r="82" spans="2:27" x14ac:dyDescent="0.2">
      <c r="B82" s="1"/>
      <c r="I82">
        <v>2046858638</v>
      </c>
      <c r="J82" s="1" t="s">
        <v>194</v>
      </c>
      <c r="K82">
        <v>-143</v>
      </c>
      <c r="L82">
        <v>-19.75</v>
      </c>
      <c r="V82">
        <v>2678600055</v>
      </c>
      <c r="W82" s="1" t="s">
        <v>105</v>
      </c>
      <c r="AA82" s="1"/>
    </row>
    <row r="83" spans="2:27" x14ac:dyDescent="0.2">
      <c r="B83" s="1"/>
      <c r="I83">
        <v>138802576</v>
      </c>
      <c r="J83" s="1" t="s">
        <v>195</v>
      </c>
      <c r="V83">
        <v>2517927288</v>
      </c>
      <c r="W83" s="1" t="s">
        <v>106</v>
      </c>
      <c r="AA83" s="1"/>
    </row>
    <row r="84" spans="2:27" x14ac:dyDescent="0.2">
      <c r="B84" s="1"/>
      <c r="I84">
        <v>138802576</v>
      </c>
      <c r="J84" s="1" t="s">
        <v>196</v>
      </c>
      <c r="K84">
        <v>-141</v>
      </c>
      <c r="L84">
        <v>-18.25</v>
      </c>
      <c r="V84">
        <v>253067638</v>
      </c>
      <c r="W84" s="1" t="s">
        <v>107</v>
      </c>
      <c r="AA84" s="1"/>
    </row>
    <row r="85" spans="2:27" x14ac:dyDescent="0.2">
      <c r="B85" s="1"/>
      <c r="I85">
        <v>993510801</v>
      </c>
      <c r="J85" s="1" t="s">
        <v>197</v>
      </c>
      <c r="V85">
        <v>2517927288</v>
      </c>
      <c r="W85" s="1" t="s">
        <v>108</v>
      </c>
      <c r="X85">
        <v>-143</v>
      </c>
      <c r="Y85">
        <v>-18.75</v>
      </c>
      <c r="AA85" s="1"/>
    </row>
    <row r="86" spans="2:27" x14ac:dyDescent="0.2">
      <c r="B86" s="1"/>
      <c r="I86">
        <v>993510801</v>
      </c>
      <c r="J86" s="1" t="s">
        <v>198</v>
      </c>
      <c r="K86">
        <v>-141</v>
      </c>
      <c r="L86">
        <v>-16.25</v>
      </c>
      <c r="V86">
        <v>253067638</v>
      </c>
      <c r="W86" s="1" t="s">
        <v>109</v>
      </c>
      <c r="X86">
        <v>-142</v>
      </c>
      <c r="Y86">
        <v>-18.25</v>
      </c>
      <c r="AA86" s="1"/>
    </row>
    <row r="87" spans="2:27" x14ac:dyDescent="0.2">
      <c r="B87" s="1"/>
      <c r="I87">
        <v>4036419986</v>
      </c>
      <c r="J87" s="1" t="s">
        <v>199</v>
      </c>
      <c r="V87">
        <v>2581238137</v>
      </c>
      <c r="W87" s="1" t="s">
        <v>110</v>
      </c>
      <c r="AA87" s="1"/>
    </row>
    <row r="88" spans="2:27" x14ac:dyDescent="0.2">
      <c r="B88" s="1"/>
      <c r="I88">
        <v>4036419986</v>
      </c>
      <c r="J88" s="1" t="s">
        <v>200</v>
      </c>
      <c r="K88">
        <v>-140</v>
      </c>
      <c r="L88">
        <v>-16.25</v>
      </c>
      <c r="V88">
        <v>2581238137</v>
      </c>
      <c r="W88" s="1" t="s">
        <v>111</v>
      </c>
      <c r="X88">
        <v>-140</v>
      </c>
      <c r="Y88">
        <v>-17.25</v>
      </c>
      <c r="AA88" s="1"/>
    </row>
    <row r="89" spans="2:27" x14ac:dyDescent="0.2">
      <c r="B89" s="1"/>
      <c r="I89">
        <v>1590730131</v>
      </c>
      <c r="J89" s="1" t="s">
        <v>201</v>
      </c>
      <c r="V89">
        <v>1307697532</v>
      </c>
      <c r="W89" s="1" t="s">
        <v>112</v>
      </c>
      <c r="AA89" s="1"/>
    </row>
    <row r="90" spans="2:27" x14ac:dyDescent="0.2">
      <c r="B90" s="1"/>
      <c r="I90">
        <v>2017960340</v>
      </c>
      <c r="J90" s="1" t="s">
        <v>202</v>
      </c>
      <c r="V90">
        <v>1811584379</v>
      </c>
      <c r="W90" s="1" t="s">
        <v>113</v>
      </c>
      <c r="AA90" s="1"/>
    </row>
    <row r="91" spans="2:27" x14ac:dyDescent="0.2">
      <c r="B91" s="1"/>
      <c r="I91">
        <v>2017960340</v>
      </c>
      <c r="J91" s="1" t="s">
        <v>203</v>
      </c>
      <c r="K91">
        <v>-142</v>
      </c>
      <c r="L91">
        <v>-17.25</v>
      </c>
      <c r="V91">
        <v>3307310461</v>
      </c>
      <c r="W91" s="1" t="s">
        <v>114</v>
      </c>
      <c r="AA91" s="1"/>
    </row>
    <row r="92" spans="2:27" x14ac:dyDescent="0.2">
      <c r="B92" s="1"/>
      <c r="I92">
        <v>3122014613</v>
      </c>
      <c r="J92" s="1" t="s">
        <v>204</v>
      </c>
      <c r="V92">
        <v>3855499647</v>
      </c>
      <c r="W92" s="1" t="s">
        <v>115</v>
      </c>
      <c r="AA92" s="1"/>
    </row>
    <row r="93" spans="2:27" x14ac:dyDescent="0.2">
      <c r="I93">
        <v>3122014613</v>
      </c>
      <c r="J93" s="1" t="s">
        <v>205</v>
      </c>
      <c r="K93">
        <v>-142</v>
      </c>
      <c r="L93">
        <v>-17</v>
      </c>
      <c r="V93">
        <v>3391189374</v>
      </c>
      <c r="W93" s="1" t="s">
        <v>116</v>
      </c>
      <c r="AA93" s="1"/>
    </row>
    <row r="94" spans="2:27" x14ac:dyDescent="0.2">
      <c r="B94" s="1"/>
      <c r="I94">
        <v>2308042134</v>
      </c>
      <c r="J94" s="1" t="s">
        <v>206</v>
      </c>
      <c r="V94">
        <v>3391189374</v>
      </c>
      <c r="W94">
        <v>1782150171.14417</v>
      </c>
      <c r="X94">
        <v>-142</v>
      </c>
      <c r="Y94">
        <v>-17.75</v>
      </c>
    </row>
    <row r="95" spans="2:27" x14ac:dyDescent="0.2">
      <c r="B95" s="1"/>
      <c r="I95">
        <v>366039447</v>
      </c>
      <c r="J95" s="1" t="s">
        <v>207</v>
      </c>
      <c r="V95">
        <v>3902504323</v>
      </c>
      <c r="W95" s="1" t="s">
        <v>117</v>
      </c>
      <c r="AA95" s="1"/>
    </row>
    <row r="96" spans="2:27" x14ac:dyDescent="0.2">
      <c r="B96" s="1"/>
      <c r="I96">
        <v>3212068248</v>
      </c>
      <c r="J96" s="1" t="s">
        <v>208</v>
      </c>
      <c r="V96">
        <v>795987329</v>
      </c>
      <c r="W96" s="1" t="s">
        <v>118</v>
      </c>
      <c r="AA96" s="1"/>
    </row>
    <row r="97" spans="2:27" x14ac:dyDescent="0.2">
      <c r="I97">
        <v>2806242713</v>
      </c>
      <c r="J97" s="1" t="s">
        <v>209</v>
      </c>
      <c r="V97">
        <v>3476572549</v>
      </c>
      <c r="W97" s="1" t="s">
        <v>119</v>
      </c>
      <c r="AA97" s="1"/>
    </row>
    <row r="98" spans="2:27" x14ac:dyDescent="0.2">
      <c r="B98" s="1"/>
      <c r="I98">
        <v>2806242713</v>
      </c>
      <c r="J98" s="1" t="s">
        <v>210</v>
      </c>
      <c r="K98">
        <v>-142</v>
      </c>
      <c r="L98">
        <v>-17.5</v>
      </c>
      <c r="V98">
        <v>3139331462</v>
      </c>
      <c r="W98" s="1" t="s">
        <v>120</v>
      </c>
      <c r="AA98" s="1"/>
    </row>
    <row r="99" spans="2:27" x14ac:dyDescent="0.2">
      <c r="B99" s="1"/>
      <c r="I99">
        <v>1923212700</v>
      </c>
      <c r="J99" s="1" t="s">
        <v>211</v>
      </c>
      <c r="K99">
        <v>-142</v>
      </c>
      <c r="L99">
        <v>-18.75</v>
      </c>
      <c r="V99">
        <v>3139331462</v>
      </c>
      <c r="W99" s="1" t="s">
        <v>121</v>
      </c>
      <c r="X99">
        <v>-143</v>
      </c>
      <c r="Y99">
        <v>-18.75</v>
      </c>
      <c r="AA99" s="1"/>
    </row>
    <row r="100" spans="2:27" x14ac:dyDescent="0.2">
      <c r="B100" s="1"/>
      <c r="I100">
        <v>3824428445</v>
      </c>
      <c r="J100" s="1" t="s">
        <v>212</v>
      </c>
    </row>
    <row r="101" spans="2:27" x14ac:dyDescent="0.2">
      <c r="B101" s="1"/>
      <c r="I101">
        <v>3203792286</v>
      </c>
      <c r="J101" s="1" t="s">
        <v>213</v>
      </c>
      <c r="K101">
        <v>-142</v>
      </c>
      <c r="L101">
        <v>-19</v>
      </c>
    </row>
    <row r="102" spans="2:27" x14ac:dyDescent="0.2">
      <c r="B102" s="1"/>
      <c r="I102">
        <v>2898474400</v>
      </c>
      <c r="J102" s="1" t="s">
        <v>214</v>
      </c>
      <c r="K102">
        <v>-142</v>
      </c>
      <c r="L102">
        <v>-19.25</v>
      </c>
    </row>
    <row r="103" spans="2:27" x14ac:dyDescent="0.2">
      <c r="B103" s="1"/>
      <c r="I103">
        <v>3907392929</v>
      </c>
      <c r="J103">
        <v>1782222856.9430001</v>
      </c>
    </row>
    <row r="104" spans="2:27" x14ac:dyDescent="0.2">
      <c r="B104" s="1"/>
      <c r="I104">
        <v>1734313378</v>
      </c>
      <c r="J104" s="1" t="s">
        <v>215</v>
      </c>
    </row>
    <row r="105" spans="2:27" x14ac:dyDescent="0.2">
      <c r="B105" s="1"/>
      <c r="I105">
        <v>1754067363</v>
      </c>
      <c r="J105" s="1" t="s">
        <v>216</v>
      </c>
    </row>
    <row r="106" spans="2:27" x14ac:dyDescent="0.2">
      <c r="B106" s="1"/>
      <c r="I106">
        <v>1998385572</v>
      </c>
      <c r="J106" s="1" t="s">
        <v>217</v>
      </c>
    </row>
    <row r="107" spans="2:27" x14ac:dyDescent="0.2">
      <c r="B107" s="1"/>
      <c r="I107">
        <v>2007371173</v>
      </c>
      <c r="J107" s="1" t="s">
        <v>218</v>
      </c>
    </row>
    <row r="108" spans="2:27" x14ac:dyDescent="0.2">
      <c r="B108" s="1"/>
      <c r="I108">
        <v>2075148710</v>
      </c>
      <c r="J108" s="1" t="s">
        <v>219</v>
      </c>
    </row>
    <row r="109" spans="2:27" x14ac:dyDescent="0.2">
      <c r="B109" s="1"/>
      <c r="I109">
        <v>2905213352</v>
      </c>
      <c r="J109" s="1" t="s">
        <v>220</v>
      </c>
    </row>
    <row r="110" spans="2:27" x14ac:dyDescent="0.2">
      <c r="B110" s="1"/>
      <c r="I110">
        <v>941753772</v>
      </c>
      <c r="J110" s="1" t="s">
        <v>221</v>
      </c>
      <c r="K110">
        <v>-143</v>
      </c>
      <c r="L110">
        <v>-20.75</v>
      </c>
    </row>
    <row r="111" spans="2:27" x14ac:dyDescent="0.2">
      <c r="B111" s="1"/>
      <c r="I111">
        <v>4057333167</v>
      </c>
      <c r="J111" s="1" t="s">
        <v>222</v>
      </c>
    </row>
    <row r="112" spans="2:27" x14ac:dyDescent="0.2">
      <c r="B112" s="1"/>
      <c r="I112">
        <v>2579889</v>
      </c>
      <c r="J112" s="1" t="s">
        <v>223</v>
      </c>
    </row>
    <row r="113" spans="2:12" x14ac:dyDescent="0.2">
      <c r="B113" s="1"/>
      <c r="I113">
        <v>2579889</v>
      </c>
      <c r="J113">
        <v>1782223814.68626</v>
      </c>
      <c r="K113">
        <v>-143</v>
      </c>
      <c r="L113">
        <v>-18.75</v>
      </c>
    </row>
    <row r="114" spans="2:12" x14ac:dyDescent="0.2">
      <c r="B114" s="1"/>
      <c r="I114">
        <v>1218838962</v>
      </c>
      <c r="J114" s="1" t="s">
        <v>224</v>
      </c>
    </row>
    <row r="115" spans="2:12" x14ac:dyDescent="0.2">
      <c r="B115" s="1"/>
      <c r="I115">
        <v>1218838962</v>
      </c>
      <c r="J115" s="1" t="s">
        <v>225</v>
      </c>
      <c r="K115">
        <v>-142</v>
      </c>
      <c r="L115">
        <v>-17.75</v>
      </c>
    </row>
    <row r="116" spans="2:12" x14ac:dyDescent="0.2">
      <c r="B116" s="1"/>
      <c r="I116">
        <v>3812074932</v>
      </c>
      <c r="J116" s="1" t="s">
        <v>226</v>
      </c>
    </row>
    <row r="117" spans="2:12" x14ac:dyDescent="0.2">
      <c r="B117" s="1"/>
      <c r="I117">
        <v>706235833</v>
      </c>
      <c r="J117" s="1" t="s">
        <v>227</v>
      </c>
      <c r="K117">
        <v>-143</v>
      </c>
      <c r="L117">
        <v>-19.75</v>
      </c>
    </row>
    <row r="118" spans="2:12" x14ac:dyDescent="0.2">
      <c r="B118" s="1"/>
      <c r="I118">
        <v>262309309</v>
      </c>
      <c r="J118" s="1" t="s">
        <v>228</v>
      </c>
    </row>
    <row r="119" spans="2:12" x14ac:dyDescent="0.2">
      <c r="B119" s="1"/>
      <c r="I119">
        <v>262309309</v>
      </c>
      <c r="J119" s="1" t="s">
        <v>229</v>
      </c>
      <c r="K119">
        <v>-142</v>
      </c>
      <c r="L119">
        <v>-19.25</v>
      </c>
    </row>
    <row r="120" spans="2:12" x14ac:dyDescent="0.2">
      <c r="B120" s="1"/>
    </row>
    <row r="121" spans="2:12" x14ac:dyDescent="0.2">
      <c r="B121" s="1"/>
    </row>
    <row r="122" spans="2:12" x14ac:dyDescent="0.2">
      <c r="B122" s="1"/>
    </row>
    <row r="124" spans="2:12" x14ac:dyDescent="0.2">
      <c r="B124" s="1"/>
    </row>
    <row r="125" spans="2:12" x14ac:dyDescent="0.2">
      <c r="B125" s="1"/>
    </row>
    <row r="126" spans="2:12" x14ac:dyDescent="0.2">
      <c r="B126" s="1"/>
    </row>
    <row r="127" spans="2:12" x14ac:dyDescent="0.2">
      <c r="B127" s="1"/>
    </row>
    <row r="128" spans="2:12" x14ac:dyDescent="0.2">
      <c r="B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5" spans="2:3" x14ac:dyDescent="0.2">
      <c r="C145" s="1"/>
    </row>
    <row r="146" spans="2:3" x14ac:dyDescent="0.2">
      <c r="C146" s="1"/>
    </row>
    <row r="147" spans="2:3" x14ac:dyDescent="0.2">
      <c r="C147" s="1"/>
    </row>
    <row r="148" spans="2:3" x14ac:dyDescent="0.2">
      <c r="C148" s="1"/>
    </row>
    <row r="149" spans="2:3" x14ac:dyDescent="0.2">
      <c r="C149" s="1"/>
    </row>
    <row r="150" spans="2:3" x14ac:dyDescent="0.2">
      <c r="C150" s="1"/>
    </row>
    <row r="151" spans="2:3" x14ac:dyDescent="0.2">
      <c r="C151" s="1"/>
    </row>
    <row r="152" spans="2:3" x14ac:dyDescent="0.2">
      <c r="C152" s="1"/>
    </row>
    <row r="153" spans="2:3" x14ac:dyDescent="0.2">
      <c r="C153" s="1"/>
    </row>
    <row r="154" spans="2:3" x14ac:dyDescent="0.2">
      <c r="C154" s="1"/>
    </row>
    <row r="155" spans="2:3" x14ac:dyDescent="0.2">
      <c r="C155" s="1"/>
    </row>
    <row r="156" spans="2:3" x14ac:dyDescent="0.2">
      <c r="C156" s="1"/>
    </row>
    <row r="157" spans="2:3" x14ac:dyDescent="0.2">
      <c r="C157" s="1"/>
    </row>
    <row r="158" spans="2:3" x14ac:dyDescent="0.2">
      <c r="C158" s="1"/>
    </row>
    <row r="160" spans="2:3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7" spans="2:2" x14ac:dyDescent="0.2">
      <c r="B227" s="1"/>
    </row>
    <row r="228" spans="2:2" x14ac:dyDescent="0.2">
      <c r="B228" s="1"/>
    </row>
    <row r="230" spans="2:2" x14ac:dyDescent="0.2">
      <c r="B230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3239-CE8F-B84E-8C40-EAE0893133F5}">
  <dimension ref="A1:E4"/>
  <sheetViews>
    <sheetView zoomScale="248" workbookViewId="0">
      <selection activeCell="E2" sqref="E2"/>
    </sheetView>
  </sheetViews>
  <sheetFormatPr baseColWidth="10" defaultRowHeight="16" x14ac:dyDescent="0.2"/>
  <cols>
    <col min="3" max="3" width="13.5" customWidth="1"/>
    <col min="4" max="4" width="14.5" customWidth="1"/>
    <col min="5" max="5" width="12.83203125" customWidth="1"/>
  </cols>
  <sheetData>
    <row r="1" spans="1:5" x14ac:dyDescent="0.2">
      <c r="A1" s="4" t="s">
        <v>321</v>
      </c>
      <c r="B1" s="4" t="s">
        <v>317</v>
      </c>
      <c r="C1" s="5" t="s">
        <v>318</v>
      </c>
      <c r="D1" s="4" t="s">
        <v>324</v>
      </c>
      <c r="E1" s="4" t="s">
        <v>320</v>
      </c>
    </row>
    <row r="2" spans="1:5" x14ac:dyDescent="0.2">
      <c r="A2" s="4" t="s">
        <v>322</v>
      </c>
      <c r="B2">
        <f>(31/60)*100</f>
        <v>51.666666666666671</v>
      </c>
      <c r="C2" s="1">
        <f>AVERAGE(all!G2:G31)</f>
        <v>8.1873083511988316</v>
      </c>
      <c r="D2" cm="1">
        <f t="array" ref="D2">SUMPRODUCT(--( COUNTIF(all!I2:I119,all!C2:C31)&gt;0))</f>
        <v>28</v>
      </c>
      <c r="E2">
        <f>(D2/31)*100</f>
        <v>90.322580645161281</v>
      </c>
    </row>
    <row r="3" spans="1:5" x14ac:dyDescent="0.2">
      <c r="A3" s="4" t="s">
        <v>323</v>
      </c>
      <c r="B3" s="6">
        <f>(COUNT(all!N2:N79)/300)*100</f>
        <v>26</v>
      </c>
      <c r="C3" s="9">
        <f>AVERAGE(all!T2:T79)</f>
        <v>15.022215528365892</v>
      </c>
      <c r="D3" s="6" cm="1">
        <f t="array" ref="D3">SUMPRODUCT(--( COUNTIF(all!V2:V99,all!P2:P79)&gt;0))</f>
        <v>53</v>
      </c>
      <c r="E3" s="6">
        <f>(D3/COUNT(all!N2:N79))*100</f>
        <v>67.948717948717956</v>
      </c>
    </row>
    <row r="4" spans="1:5" x14ac:dyDescent="0.2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Final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Earle</cp:lastModifiedBy>
  <dcterms:created xsi:type="dcterms:W3CDTF">2026-06-25T13:08:34Z</dcterms:created>
  <dcterms:modified xsi:type="dcterms:W3CDTF">2026-07-02T16:25:17Z</dcterms:modified>
</cp:coreProperties>
</file>