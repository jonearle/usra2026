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PlexToGB/"/>
    </mc:Choice>
  </mc:AlternateContent>
  <xr:revisionPtr revIDLastSave="0" documentId="13_ncr:1_{BC31F958-BD53-4A4F-B061-88D0D3711458}" xr6:coauthVersionLast="47" xr6:coauthVersionMax="47" xr10:uidLastSave="{00000000-0000-0000-0000-000000000000}"/>
  <bookViews>
    <workbookView xWindow="1440" yWindow="500" windowWidth="27320" windowHeight="17500" firstSheet="11" activeTab="16" xr2:uid="{33FA83C0-F142-3742-80B7-FE730F6C474E}"/>
  </bookViews>
  <sheets>
    <sheet name="5sec_morning" sheetId="4" r:id="rId1"/>
    <sheet name="5sec_morning_ACK" sheetId="7" r:id="rId2"/>
    <sheet name="20sec_morning" sheetId="3" r:id="rId3"/>
    <sheet name="20sec_morning_ACK" sheetId="8" r:id="rId4"/>
    <sheet name="40sec_morning" sheetId="1" r:id="rId5"/>
    <sheet name="40sec_morning_ACK" sheetId="9" r:id="rId6"/>
    <sheet name="1min_morning" sheetId="5" r:id="rId7"/>
    <sheet name="1min_morning_ACK" sheetId="10" r:id="rId8"/>
    <sheet name="5sec_afternoon" sheetId="11" r:id="rId9"/>
    <sheet name="5sec_afternoon_ACK" sheetId="12" r:id="rId10"/>
    <sheet name="20sec_afternon" sheetId="13" r:id="rId11"/>
    <sheet name="20sec_afternoon_ACK" sheetId="14" r:id="rId12"/>
    <sheet name="40sec_afternoon" sheetId="15" r:id="rId13"/>
    <sheet name="40sec_afternoon_ACK" sheetId="16" r:id="rId14"/>
    <sheet name="1min_afternoon" sheetId="18" r:id="rId15"/>
    <sheet name="1min_afternoon_ACK" sheetId="17" r:id="rId16"/>
    <sheet name="total" sheetId="6" r:id="rId17"/>
    <sheet name="allACK" sheetId="19" r:id="rId18"/>
  </sheets>
  <definedNames>
    <definedName name="_xlnm._FilterDatabase" localSheetId="17" hidden="1">allACK!$A$1:$A$309</definedName>
    <definedName name="_xlchart.v1.0" hidden="1">'5sec_afternoon'!$K$1:$K$39</definedName>
    <definedName name="_xlchart.v1.1" hidden="1">'5sec_afternoon'!$K$1:$K$39</definedName>
    <definedName name="_xlchart.v1.10" hidden="1">total!$B$26:$E$26</definedName>
    <definedName name="_xlchart.v1.11" hidden="1">total!$A$2</definedName>
    <definedName name="_xlchart.v1.12" hidden="1">total!$B$1:$E$1</definedName>
    <definedName name="_xlchart.v1.13" hidden="1">total!$B$2:$E$2</definedName>
    <definedName name="_xlchart.v1.2" hidden="1">'5sec_afternoon'!$K$1:$K$39</definedName>
    <definedName name="_xlchart.v1.3" hidden="1">total!$A$10</definedName>
    <definedName name="_xlchart.v1.4" hidden="1">total!$B$10:$E$10</definedName>
    <definedName name="_xlchart.v1.5" hidden="1">total!$B$1:$E$1</definedName>
    <definedName name="_xlchart.v1.6" hidden="1">total!$A$1</definedName>
    <definedName name="_xlchart.v1.7" hidden="1">total!$A$16</definedName>
    <definedName name="_xlchart.v1.8" hidden="1">total!$B$10:$E$10</definedName>
    <definedName name="_xlchart.v1.9" hidden="1">total!$B$1:$E$1</definedName>
    <definedName name="_xlnm.Extract" localSheetId="17">allACK!$D:$D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6" l="1"/>
  <c r="F19" i="6"/>
  <c r="E19" i="6"/>
  <c r="D19" i="6"/>
  <c r="C19" i="6"/>
  <c r="B19" i="6"/>
  <c r="F2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E25" i="6" a="1"/>
  <c r="E25" i="6" s="1"/>
  <c r="E26" i="6" s="1"/>
  <c r="D25" i="6" a="1"/>
  <c r="D25" i="6" s="1"/>
  <c r="D26" i="6" s="1"/>
  <c r="C25" i="6" a="1"/>
  <c r="C25" i="6" s="1"/>
  <c r="C26" i="6" s="1"/>
  <c r="B25" i="6" a="1"/>
  <c r="B25" i="6" s="1"/>
  <c r="B26" i="6" s="1"/>
  <c r="B24" i="6"/>
  <c r="F17" i="6"/>
  <c r="F24" i="6"/>
  <c r="E24" i="6"/>
  <c r="D24" i="6"/>
  <c r="C24" i="6"/>
  <c r="E23" i="6"/>
  <c r="F23" i="6" s="1"/>
  <c r="D23" i="6"/>
  <c r="C23" i="6"/>
  <c r="B23" i="6"/>
  <c r="F22" i="6"/>
  <c r="E22" i="6"/>
  <c r="D22" i="6"/>
  <c r="C22" i="6"/>
  <c r="B22" i="6"/>
  <c r="E21" i="6"/>
  <c r="D21" i="6"/>
  <c r="C21" i="6"/>
  <c r="B21" i="6"/>
  <c r="F21" i="6" s="1"/>
  <c r="E20" i="6"/>
  <c r="F20" i="6" s="1"/>
  <c r="D20" i="6"/>
  <c r="C20" i="6"/>
  <c r="B20" i="6"/>
  <c r="E18" i="6"/>
  <c r="D18" i="6"/>
  <c r="C18" i="6"/>
  <c r="F18" i="6" s="1"/>
  <c r="B18" i="6"/>
  <c r="G18" i="6" s="1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1" i="18"/>
  <c r="K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1" i="15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1" i="13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1" i="11"/>
  <c r="E17" i="6"/>
  <c r="D17" i="6"/>
  <c r="C17" i="6"/>
  <c r="B17" i="6"/>
  <c r="F14" i="6"/>
  <c r="E14" i="6"/>
  <c r="D14" i="6"/>
  <c r="C14" i="6"/>
  <c r="B14" i="6"/>
  <c r="E12" i="6"/>
  <c r="D12" i="6"/>
  <c r="F12" i="6" s="1"/>
  <c r="C12" i="6"/>
  <c r="B12" i="6"/>
  <c r="E8" i="6"/>
  <c r="D8" i="6"/>
  <c r="C8" i="6"/>
  <c r="B8" i="6"/>
  <c r="F8" i="6" s="1"/>
  <c r="B7" i="6"/>
  <c r="E6" i="6"/>
  <c r="D6" i="6"/>
  <c r="C6" i="6"/>
  <c r="F6" i="6" s="1"/>
  <c r="B6" i="6"/>
  <c r="E13" i="6"/>
  <c r="D13" i="6"/>
  <c r="C13" i="6"/>
  <c r="B13" i="6"/>
  <c r="E11" i="6"/>
  <c r="D11" i="6"/>
  <c r="C11" i="6"/>
  <c r="B11" i="6"/>
  <c r="E9" i="6" a="1"/>
  <c r="E9" i="6" s="1"/>
  <c r="E10" i="6" s="1"/>
  <c r="D9" i="6" a="1"/>
  <c r="D9" i="6" s="1"/>
  <c r="D10" i="6" s="1"/>
  <c r="C9" i="6" a="1"/>
  <c r="C9" i="6" s="1"/>
  <c r="C10" i="6" s="1"/>
  <c r="B9" i="6" a="1"/>
  <c r="B9" i="6" s="1"/>
  <c r="F9" i="6" s="1"/>
  <c r="F10" i="6" s="1"/>
  <c r="E7" i="6"/>
  <c r="D7" i="6"/>
  <c r="C7" i="6"/>
  <c r="E5" i="6"/>
  <c r="D5" i="6"/>
  <c r="C5" i="6"/>
  <c r="B5" i="6"/>
  <c r="E4" i="6"/>
  <c r="D4" i="6"/>
  <c r="C4" i="6"/>
  <c r="B4" i="6"/>
  <c r="E2" i="6"/>
  <c r="D2" i="6"/>
  <c r="C2" i="6"/>
  <c r="B2" i="6"/>
  <c r="B10" i="6" l="1"/>
  <c r="F25" i="6"/>
  <c r="F26" i="6" s="1"/>
  <c r="F4" i="6"/>
  <c r="F5" i="6"/>
  <c r="F7" i="6"/>
  <c r="F11" i="6"/>
  <c r="F13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<sst xmlns="http://schemas.openxmlformats.org/spreadsheetml/2006/main" count="1564" uniqueCount="795">
  <si>
    <t>!6c73daa0</t>
  </si>
  <si>
    <t>!dadfb8d4</t>
  </si>
  <si>
    <t>packetID</t>
  </si>
  <si>
    <t>fromID</t>
  </si>
  <si>
    <t>toID</t>
  </si>
  <si>
    <t>relayNode</t>
  </si>
  <si>
    <t>hops</t>
  </si>
  <si>
    <t>localID</t>
  </si>
  <si>
    <t>sendTIme</t>
  </si>
  <si>
    <t>SNR</t>
  </si>
  <si>
    <t>RSSI</t>
  </si>
  <si>
    <t>RSSI (last hop)</t>
  </si>
  <si>
    <t>SNR (last hop)</t>
  </si>
  <si>
    <t>sendTime</t>
  </si>
  <si>
    <t>1782995013.6558988</t>
  </si>
  <si>
    <t>1782995028.246974</t>
  </si>
  <si>
    <t>1782995028.983136</t>
  </si>
  <si>
    <t>1782995036.8787909</t>
  </si>
  <si>
    <t>1782995039.150548</t>
  </si>
  <si>
    <t>1782995040.416229</t>
  </si>
  <si>
    <t>1782995044.748644</t>
  </si>
  <si>
    <t>1782995046.0190248</t>
  </si>
  <si>
    <t>1782995051.072513</t>
  </si>
  <si>
    <t>1782995065.285951</t>
  </si>
  <si>
    <t>1782995074.532823</t>
  </si>
  <si>
    <t>1782995095.406804</t>
  </si>
  <si>
    <t>1782995112.5259562</t>
  </si>
  <si>
    <t>1782995200.696197</t>
  </si>
  <si>
    <t>1782995224.4149172</t>
  </si>
  <si>
    <t>1782995236.0599868</t>
  </si>
  <si>
    <t>1782996472.134261</t>
  </si>
  <si>
    <t>1782996472.195532</t>
  </si>
  <si>
    <t>1782996472.258548</t>
  </si>
  <si>
    <t>1782996482.526283</t>
  </si>
  <si>
    <t>1782996491.756474</t>
  </si>
  <si>
    <t>1782996495.676743</t>
  </si>
  <si>
    <t>1782996508.025467</t>
  </si>
  <si>
    <t>1782996530.524556</t>
  </si>
  <si>
    <t>1782996535.337505</t>
  </si>
  <si>
    <t>1782996538.220339</t>
  </si>
  <si>
    <t>1782996543.333996</t>
  </si>
  <si>
    <t>1782996555.0813491</t>
  </si>
  <si>
    <t>1782996568.001615</t>
  </si>
  <si>
    <t>1782996575.436586</t>
  </si>
  <si>
    <t>1782996581.434752</t>
  </si>
  <si>
    <t>1782996595.4913301</t>
  </si>
  <si>
    <t>1782996602.4122581</t>
  </si>
  <si>
    <t>1782996616.755393</t>
  </si>
  <si>
    <t>1782996622.914189</t>
  </si>
  <si>
    <t>1782996637.739819</t>
  </si>
  <si>
    <t>1782996644.8979461</t>
  </si>
  <si>
    <t>1782996663.874985</t>
  </si>
  <si>
    <t>1782996676.116554</t>
  </si>
  <si>
    <t>1782996682.144149</t>
  </si>
  <si>
    <t>1782996696.710251</t>
  </si>
  <si>
    <t>1782996703.323147</t>
  </si>
  <si>
    <t>1782996717.417622</t>
  </si>
  <si>
    <t>1782996723.598328</t>
  </si>
  <si>
    <t>1782996737.2346072</t>
  </si>
  <si>
    <t>1782996743.173223</t>
  </si>
  <si>
    <t>1782996756.470345</t>
  </si>
  <si>
    <t>1782996762.7506409</t>
  </si>
  <si>
    <t>1782996777.871966</t>
  </si>
  <si>
    <t>1782996783.450469</t>
  </si>
  <si>
    <t>1782996796.895776</t>
  </si>
  <si>
    <t>1782996803.485906</t>
  </si>
  <si>
    <t>1782996819.109199</t>
  </si>
  <si>
    <t>1782996837.2447948</t>
  </si>
  <si>
    <t>1782996845.902996</t>
  </si>
  <si>
    <t>1782996858.0569758</t>
  </si>
  <si>
    <t>1782996864.6226938</t>
  </si>
  <si>
    <t>1782996877.486458</t>
  </si>
  <si>
    <t>1782996882.7550132</t>
  </si>
  <si>
    <t>1782996897.307619</t>
  </si>
  <si>
    <t>1782996903.667705</t>
  </si>
  <si>
    <t>1782996917.688374</t>
  </si>
  <si>
    <t>1782996924.8205702</t>
  </si>
  <si>
    <t>1782996938.023852</t>
  </si>
  <si>
    <t>1782996957.793729</t>
  </si>
  <si>
    <t>1782996963.521133</t>
  </si>
  <si>
    <t>1782996980.411411</t>
  </si>
  <si>
    <t>1782996986.273277</t>
  </si>
  <si>
    <t>1782996998.3194711</t>
  </si>
  <si>
    <t>1782997003.944816</t>
  </si>
  <si>
    <t>1782997017.7449632</t>
  </si>
  <si>
    <t>1782997023.155803</t>
  </si>
  <si>
    <t>1782997039.268801</t>
  </si>
  <si>
    <t>1782997044.470319</t>
  </si>
  <si>
    <t>1782997057.829788</t>
  </si>
  <si>
    <t>1782997079.640718</t>
  </si>
  <si>
    <t>1782997084.8101408</t>
  </si>
  <si>
    <t>1782997098.423957</t>
  </si>
  <si>
    <t>1782997103.7506108</t>
  </si>
  <si>
    <t>1782997119.8822122</t>
  </si>
  <si>
    <t>1782997126.3658502</t>
  </si>
  <si>
    <t>1782997140.636021</t>
  </si>
  <si>
    <t>1782997153.491904</t>
  </si>
  <si>
    <t>1782997160.051994</t>
  </si>
  <si>
    <t>1782997164.475638</t>
  </si>
  <si>
    <t>1782997178.372651</t>
  </si>
  <si>
    <t>1782997183.799038</t>
  </si>
  <si>
    <t>1782997199.680704</t>
  </si>
  <si>
    <t>1782997205.244031</t>
  </si>
  <si>
    <t>1782997219.7515678</t>
  </si>
  <si>
    <t>1782997226.195853</t>
  </si>
  <si>
    <t>1782997239.394871</t>
  </si>
  <si>
    <t>1782997252.0434759</t>
  </si>
  <si>
    <t>1782997260.0488079</t>
  </si>
  <si>
    <t>1782997265.577274</t>
  </si>
  <si>
    <t>1782997281.361299</t>
  </si>
  <si>
    <t>1782997287.419639</t>
  </si>
  <si>
    <t>1782997300.771119</t>
  </si>
  <si>
    <t>1782997320.9618628</t>
  </si>
  <si>
    <t>1782997325.998358</t>
  </si>
  <si>
    <t>1782997339.5734951</t>
  </si>
  <si>
    <t>1782997348.309969</t>
  </si>
  <si>
    <t>1782997360.7887628</t>
  </si>
  <si>
    <t>1782997366.729462</t>
  </si>
  <si>
    <t>1782997380.117895</t>
  </si>
  <si>
    <t>1782997400.660379</t>
  </si>
  <si>
    <t>1782997406.3376791</t>
  </si>
  <si>
    <t>1782997419.7800682</t>
  </si>
  <si>
    <t>1782997426.623647</t>
  </si>
  <si>
    <t>1782997440.9492211</t>
  </si>
  <si>
    <t>1782997444.614105</t>
  </si>
  <si>
    <t>1782997460.046525</t>
  </si>
  <si>
    <t>1782997464.510174</t>
  </si>
  <si>
    <t>1782998687.821128</t>
  </si>
  <si>
    <t>1782998693.297657</t>
  </si>
  <si>
    <t>1782998727.583183</t>
  </si>
  <si>
    <t>1782998732.000213</t>
  </si>
  <si>
    <t>1782998766.651723</t>
  </si>
  <si>
    <t>1782998773.9098089</t>
  </si>
  <si>
    <t>1782998806.710054</t>
  </si>
  <si>
    <t>1782998812.604222</t>
  </si>
  <si>
    <t>1782998847.1004548</t>
  </si>
  <si>
    <t>1782998852.656597</t>
  </si>
  <si>
    <t>1782998887.8524532</t>
  </si>
  <si>
    <t>1782998894.6500301</t>
  </si>
  <si>
    <t>1782998927.791605</t>
  </si>
  <si>
    <t>1782998934.689466</t>
  </si>
  <si>
    <t>1782998968.0768058</t>
  </si>
  <si>
    <t>1782998979.2713711</t>
  </si>
  <si>
    <t>1782999008.669558</t>
  </si>
  <si>
    <t>1782999012.614944</t>
  </si>
  <si>
    <t>1782999055.3208718</t>
  </si>
  <si>
    <t>1782999093.624589</t>
  </si>
  <si>
    <t>1782999130.8877969</t>
  </si>
  <si>
    <t>1782999136.899926</t>
  </si>
  <si>
    <t>1782999167.730171</t>
  </si>
  <si>
    <t>1782999173.488053</t>
  </si>
  <si>
    <t>1782999208.498395</t>
  </si>
  <si>
    <t>1782999215.630698</t>
  </si>
  <si>
    <t>1782999250.999865</t>
  </si>
  <si>
    <t>1782999257.724328</t>
  </si>
  <si>
    <t>1782999288.850498</t>
  </si>
  <si>
    <t>1782999295.460057</t>
  </si>
  <si>
    <t>1782999328.128492</t>
  </si>
  <si>
    <t>1782999334.677619</t>
  </si>
  <si>
    <t>1782999370.7804868</t>
  </si>
  <si>
    <t>1782999378.486617</t>
  </si>
  <si>
    <t>1782999409.406267</t>
  </si>
  <si>
    <t>1782999448.4864929</t>
  </si>
  <si>
    <t>1782999454.655773</t>
  </si>
  <si>
    <t>1782999489.6167538</t>
  </si>
  <si>
    <t>1782999494.094097</t>
  </si>
  <si>
    <t>1782999530.0080168</t>
  </si>
  <si>
    <t>1782999570.557873</t>
  </si>
  <si>
    <t>1782999610.469808</t>
  </si>
  <si>
    <t>1782999616.9355578</t>
  </si>
  <si>
    <t>1782999649.1792629</t>
  </si>
  <si>
    <t>1782999655.715277</t>
  </si>
  <si>
    <t>1782999691.723603</t>
  </si>
  <si>
    <t>1782999698.158966</t>
  </si>
  <si>
    <t>1782999731.032516</t>
  </si>
  <si>
    <t>1782999737.943434</t>
  </si>
  <si>
    <t>1782999770.000959</t>
  </si>
  <si>
    <t>1782999811.062314</t>
  </si>
  <si>
    <t>1782999817.803993</t>
  </si>
  <si>
    <t>1782999851.110111</t>
  </si>
  <si>
    <t>1782999855.666898</t>
  </si>
  <si>
    <t>1782999890.5185878</t>
  </si>
  <si>
    <t>1782999896.6528242</t>
  </si>
  <si>
    <t>1782999930.128532</t>
  </si>
  <si>
    <t>1782999970.454655</t>
  </si>
  <si>
    <t>1782999975.282165</t>
  </si>
  <si>
    <t>1783000017.208006</t>
  </si>
  <si>
    <t>1783000050.2260191</t>
  </si>
  <si>
    <t>1783000055.700889</t>
  </si>
  <si>
    <t>1783000090.514498</t>
  </si>
  <si>
    <t>1783000097.118422</t>
  </si>
  <si>
    <t>1783000131.766172</t>
  </si>
  <si>
    <t>1783000145.8442261</t>
  </si>
  <si>
    <t>1783000171.057774</t>
  </si>
  <si>
    <t>1783000178.489419</t>
  </si>
  <si>
    <t>1783000213.106343</t>
  </si>
  <si>
    <t>1783000218.717603</t>
  </si>
  <si>
    <t>1783000255.453985</t>
  </si>
  <si>
    <t>1783000291.5252328</t>
  </si>
  <si>
    <t>1783000295.535862</t>
  </si>
  <si>
    <t>1783000334.513778</t>
  </si>
  <si>
    <t>1783000340.1133912</t>
  </si>
  <si>
    <t>1783000371.090272</t>
  </si>
  <si>
    <t>1783000376.260965</t>
  </si>
  <si>
    <t>1783000412.0118861</t>
  </si>
  <si>
    <t>1783000417.0721831</t>
  </si>
  <si>
    <t>1783000451.7168908</t>
  </si>
  <si>
    <t>1783000458.842719</t>
  </si>
  <si>
    <t>1783000492.180097</t>
  </si>
  <si>
    <t>1783000496.770317</t>
  </si>
  <si>
    <t>1783000538.195518</t>
  </si>
  <si>
    <t>1783000572.520329</t>
  </si>
  <si>
    <t>1783000613.1170151</t>
  </si>
  <si>
    <t>1783000618.641454</t>
  </si>
  <si>
    <t>1783000654.183497</t>
  </si>
  <si>
    <t>1783000661.293747</t>
  </si>
  <si>
    <t>1783001900.099304</t>
  </si>
  <si>
    <t>1783001958.730546</t>
  </si>
  <si>
    <t>1783001973.884809</t>
  </si>
  <si>
    <t>1783002019.5805178</t>
  </si>
  <si>
    <t>1783002079.972933</t>
  </si>
  <si>
    <t>1783002084.145686</t>
  </si>
  <si>
    <t>1783002094.8604789</t>
  </si>
  <si>
    <t>1783002140.0585291</t>
  </si>
  <si>
    <t>1783002146.928237</t>
  </si>
  <si>
    <t>1783002200.109644</t>
  </si>
  <si>
    <t>1783002208.588971</t>
  </si>
  <si>
    <t>1783002260.4899578</t>
  </si>
  <si>
    <t>1783002265.8331609</t>
  </si>
  <si>
    <t>1783002319.789969</t>
  </si>
  <si>
    <t>1783002328.099039</t>
  </si>
  <si>
    <t>1783002380.883848</t>
  </si>
  <si>
    <t>1783002387.2552059</t>
  </si>
  <si>
    <t>1783002441.1886022</t>
  </si>
  <si>
    <t>1783002449.3946838</t>
  </si>
  <si>
    <t>1783002506.052993</t>
  </si>
  <si>
    <t>1783002562.287217</t>
  </si>
  <si>
    <t>1783002620.6513479</t>
  </si>
  <si>
    <t>1783002680.5386581</t>
  </si>
  <si>
    <t>1783002687.071434</t>
  </si>
  <si>
    <t>1783002739.893352</t>
  </si>
  <si>
    <t>1783002744.972497</t>
  </si>
  <si>
    <t>1783002800.298692</t>
  </si>
  <si>
    <t>1783002804.596437</t>
  </si>
  <si>
    <t>1783002860.557227</t>
  </si>
  <si>
    <t>1783002864.880573</t>
  </si>
  <si>
    <t>1783002920.772453</t>
  </si>
  <si>
    <t>1783002980.338491</t>
  </si>
  <si>
    <t>1783003041.804085</t>
  </si>
  <si>
    <t>1783003048.557131</t>
  </si>
  <si>
    <t>1783003102.7047732</t>
  </si>
  <si>
    <t>1783003107.2604249</t>
  </si>
  <si>
    <t>1783003168.9167218</t>
  </si>
  <si>
    <t>1783003221.178136</t>
  </si>
  <si>
    <t>1783003226.3767931</t>
  </si>
  <si>
    <t>1783003282.4307368</t>
  </si>
  <si>
    <t>1783003288.4042182</t>
  </si>
  <si>
    <t>1783003341.505562</t>
  </si>
  <si>
    <t>1783003345.913907</t>
  </si>
  <si>
    <t>1783003401.446572</t>
  </si>
  <si>
    <t>1783003406.797817</t>
  </si>
  <si>
    <t>1783003463.8315678</t>
  </si>
  <si>
    <t>1783003470.3980858</t>
  </si>
  <si>
    <t>1783003524.5268118</t>
  </si>
  <si>
    <t>1783003531.3680131</t>
  </si>
  <si>
    <t>1783003582.728856</t>
  </si>
  <si>
    <t>1783003587.7018712</t>
  </si>
  <si>
    <t>1783003642.096812</t>
  </si>
  <si>
    <t>1783003701.9376209</t>
  </si>
  <si>
    <t>1783003709.122056</t>
  </si>
  <si>
    <t>1783003763.0810041</t>
  </si>
  <si>
    <t>1783003768.8928251</t>
  </si>
  <si>
    <t>1783003824.1623979</t>
  </si>
  <si>
    <t>1783003830.215074</t>
  </si>
  <si>
    <t>1783003882.372035</t>
  </si>
  <si>
    <t>1783003888.158816</t>
  </si>
  <si>
    <t>1783003943.846282</t>
  </si>
  <si>
    <t>1783003947.8476229</t>
  </si>
  <si>
    <t>1783004002.571152</t>
  </si>
  <si>
    <t>1783004008.5791948</t>
  </si>
  <si>
    <t>1783004063.110353</t>
  </si>
  <si>
    <t>1783004122.816511</t>
  </si>
  <si>
    <t>1783004129.014503</t>
  </si>
  <si>
    <t>1783004185.7764401</t>
  </si>
  <si>
    <t>1783004190.272591</t>
  </si>
  <si>
    <t>1783004245.956394</t>
  </si>
  <si>
    <t>1783004253.1681778</t>
  </si>
  <si>
    <t>1783004308.132586</t>
  </si>
  <si>
    <t>1783004364.3507252</t>
  </si>
  <si>
    <t>1783004371.3875241</t>
  </si>
  <si>
    <t>1783004424.991724</t>
  </si>
  <si>
    <t>1783004429.9028559</t>
  </si>
  <si>
    <t>1783004484.6889799</t>
  </si>
  <si>
    <t>1783004490.063991</t>
  </si>
  <si>
    <t>1783004543.5626822</t>
  </si>
  <si>
    <t>1783004550.3867369</t>
  </si>
  <si>
    <t>1783004611.702571</t>
  </si>
  <si>
    <t>1783004664.1978319</t>
  </si>
  <si>
    <t>1783004672.315305</t>
  </si>
  <si>
    <t>1783004724.937908</t>
  </si>
  <si>
    <t>1783004731.6840699</t>
  </si>
  <si>
    <t>1783004785.1493871</t>
  </si>
  <si>
    <t>1783004798.607449</t>
  </si>
  <si>
    <t>1783004858.914731</t>
  </si>
  <si>
    <t>5sec</t>
  </si>
  <si>
    <t>20sec</t>
  </si>
  <si>
    <t>40sec</t>
  </si>
  <si>
    <t>1min</t>
  </si>
  <si>
    <t>latency</t>
  </si>
  <si>
    <t>avg hops</t>
  </si>
  <si>
    <t>total</t>
  </si>
  <si>
    <t>DR (%)</t>
  </si>
  <si>
    <t>N/A</t>
  </si>
  <si>
    <t>avg RSSI (outgoing)</t>
  </si>
  <si>
    <t>avg SNR (outgoing)</t>
  </si>
  <si>
    <t>ACKs received (%)</t>
  </si>
  <si>
    <t>ACKs received</t>
  </si>
  <si>
    <t>avg RSSI (ACK)</t>
  </si>
  <si>
    <t>avg SNR (ACK)</t>
  </si>
  <si>
    <t>RSSI SD (outgoing)</t>
  </si>
  <si>
    <t>SNR SD (outgoing)</t>
  </si>
  <si>
    <t>RSSI SD (ACK)</t>
  </si>
  <si>
    <t>SNR SD (ACK)</t>
  </si>
  <si>
    <t>1783016332.580566</t>
  </si>
  <si>
    <t>1783016340.221466</t>
  </si>
  <si>
    <t>1783016345.122568</t>
  </si>
  <si>
    <t>1783016352.493181</t>
  </si>
  <si>
    <t>1783016355.001309</t>
  </si>
  <si>
    <t>1783016358.6649458</t>
  </si>
  <si>
    <t>1783016364.141789</t>
  </si>
  <si>
    <t>1783016369.2181098</t>
  </si>
  <si>
    <t>1783016374.7711942</t>
  </si>
  <si>
    <t>1783016380.6743119</t>
  </si>
  <si>
    <t>1783016383.883286</t>
  </si>
  <si>
    <t>1783016389.7930791</t>
  </si>
  <si>
    <t>1783016394.963625</t>
  </si>
  <si>
    <t>1783016400.379924</t>
  </si>
  <si>
    <t>1783016425.761054</t>
  </si>
  <si>
    <t>1783016486.994307</t>
  </si>
  <si>
    <t>1783016491.822369</t>
  </si>
  <si>
    <t>1783016493.389767</t>
  </si>
  <si>
    <t>1783016503.972883</t>
  </si>
  <si>
    <t>1783016531.9712052</t>
  </si>
  <si>
    <t>1783016583.569039</t>
  </si>
  <si>
    <t>1783016335.4551263</t>
  </si>
  <si>
    <t>1783016347.4391334</t>
  </si>
  <si>
    <t>1783016356.7166433</t>
  </si>
  <si>
    <t>1783016362.818397</t>
  </si>
  <si>
    <t>1783016376.881785</t>
  </si>
  <si>
    <t>1783016386.1462235</t>
  </si>
  <si>
    <t>1783016397.048152</t>
  </si>
  <si>
    <t>1783016412.7418838</t>
  </si>
  <si>
    <t>1783016418.2682958</t>
  </si>
  <si>
    <t>1783016431.180133</t>
  </si>
  <si>
    <t>1783016443.2202673</t>
  </si>
  <si>
    <t>1783016450.3519466</t>
  </si>
  <si>
    <t>1783016456.2339046</t>
  </si>
  <si>
    <t>1783016464.5338619</t>
  </si>
  <si>
    <t>1783016465.7826653</t>
  </si>
  <si>
    <t>1783016466.9913301</t>
  </si>
  <si>
    <t>1783016468.2182412</t>
  </si>
  <si>
    <t>1783016500.498604</t>
  </si>
  <si>
    <t>1783016507.583451</t>
  </si>
  <si>
    <t>1783016517.936845</t>
  </si>
  <si>
    <t>1783016526.0189714</t>
  </si>
  <si>
    <t>1783016536.6571114</t>
  </si>
  <si>
    <t>1783016555.2390552</t>
  </si>
  <si>
    <t>1783016568.158397</t>
  </si>
  <si>
    <t>1783016573.429073</t>
  </si>
  <si>
    <t>1783016579.2400522</t>
  </si>
  <si>
    <t>1783016583.8466175</t>
  </si>
  <si>
    <t>1783016598.4489954</t>
  </si>
  <si>
    <t>1783016606.4220333</t>
  </si>
  <si>
    <t>1783016607.6097987</t>
  </si>
  <si>
    <t>1783016621.4016554</t>
  </si>
  <si>
    <t>1783016622.9757311</t>
  </si>
  <si>
    <t>1783016638.7749786</t>
  </si>
  <si>
    <t>1783016639.935214</t>
  </si>
  <si>
    <t>1783016648.6590827</t>
  </si>
  <si>
    <t>1783016654.0796523</t>
  </si>
  <si>
    <t>1783016660.7818573</t>
  </si>
  <si>
    <t>1783016661.9504662</t>
  </si>
  <si>
    <t>1783017790.8011389</t>
  </si>
  <si>
    <t>1783017794.8938391</t>
  </si>
  <si>
    <t>1783017801.410361</t>
  </si>
  <si>
    <t>1783017814.167993</t>
  </si>
  <si>
    <t>1783017834.991133</t>
  </si>
  <si>
    <t>1783017853.9877481</t>
  </si>
  <si>
    <t>1783017874.255117</t>
  </si>
  <si>
    <t>1783017880.517596</t>
  </si>
  <si>
    <t>1783017894.5197408</t>
  </si>
  <si>
    <t>1783017902.655144</t>
  </si>
  <si>
    <t>1783017914.930089</t>
  </si>
  <si>
    <t>1783017919.719841</t>
  </si>
  <si>
    <t>1783017935.6588411</t>
  </si>
  <si>
    <t>1783017941.199511</t>
  </si>
  <si>
    <t>1783017954.757159</t>
  </si>
  <si>
    <t>1783017960.7351758</t>
  </si>
  <si>
    <t>1783017981.571666</t>
  </si>
  <si>
    <t>1783017996.103364</t>
  </si>
  <si>
    <t>1783018001.253081</t>
  </si>
  <si>
    <t>1783018015.903275</t>
  </si>
  <si>
    <t>1783018021.853439</t>
  </si>
  <si>
    <t>1783018035.942587</t>
  </si>
  <si>
    <t>1783018042.379044</t>
  </si>
  <si>
    <t>1783018056.0279949</t>
  </si>
  <si>
    <t>1783018061.293341</t>
  </si>
  <si>
    <t>1783018076.4704251</t>
  </si>
  <si>
    <t>1783018084.375384</t>
  </si>
  <si>
    <t>1783018095.776905</t>
  </si>
  <si>
    <t>1783018102.1122859</t>
  </si>
  <si>
    <t>1783018115.969598</t>
  </si>
  <si>
    <t>1783018122.3329349</t>
  </si>
  <si>
    <t>1783018136.627737</t>
  </si>
  <si>
    <t>1783018156.6316748</t>
  </si>
  <si>
    <t>1783018163.007499</t>
  </si>
  <si>
    <t>1783018175.929143</t>
  </si>
  <si>
    <t>1783018182.064152</t>
  </si>
  <si>
    <t>1783018203.7090461</t>
  </si>
  <si>
    <t>1783018215.630542</t>
  </si>
  <si>
    <t>1783018221.1471848</t>
  </si>
  <si>
    <t>1783018238.158653</t>
  </si>
  <si>
    <t>1783018243.215491</t>
  </si>
  <si>
    <t>1783018256.370073</t>
  </si>
  <si>
    <t>1783018262.925971</t>
  </si>
  <si>
    <t>1783018283.4378612</t>
  </si>
  <si>
    <t>1783018296.595956</t>
  </si>
  <si>
    <t>1783018316.526926</t>
  </si>
  <si>
    <t>1783018337.016583</t>
  </si>
  <si>
    <t>1783018356.4330711</t>
  </si>
  <si>
    <t>1783018363.404107</t>
  </si>
  <si>
    <t>1783018376.755836</t>
  </si>
  <si>
    <t>1783018398.330791</t>
  </si>
  <si>
    <t>1783018417.559923</t>
  </si>
  <si>
    <t>1783018422.5897632</t>
  </si>
  <si>
    <t>1783018437.4782772</t>
  </si>
  <si>
    <t>1783018442.369685</t>
  </si>
  <si>
    <t>1783018457.482503</t>
  </si>
  <si>
    <t>1783018463.9531589</t>
  </si>
  <si>
    <t>1783018477.282839</t>
  </si>
  <si>
    <t>1783018482.4493172</t>
  </si>
  <si>
    <t>1783018498.585958</t>
  </si>
  <si>
    <t>1783018506.175602</t>
  </si>
  <si>
    <t>1783018517.387708</t>
  </si>
  <si>
    <t>1783018524.047946</t>
  </si>
  <si>
    <t>1783018538.872291</t>
  </si>
  <si>
    <t>1783018544.6291919</t>
  </si>
  <si>
    <t>1783018558.8310778</t>
  </si>
  <si>
    <t>1783018563.414221</t>
  </si>
  <si>
    <t>1783018579.986423</t>
  </si>
  <si>
    <t>1783018584.8951921</t>
  </si>
  <si>
    <t>1783018598.5945668</t>
  </si>
  <si>
    <t>1783018605.227115</t>
  </si>
  <si>
    <t>1783018619.313303</t>
  </si>
  <si>
    <t>1783018625.455595</t>
  </si>
  <si>
    <t>1783018638.2390862</t>
  </si>
  <si>
    <t>1783018659.165905</t>
  </si>
  <si>
    <t>1783018666.445473</t>
  </si>
  <si>
    <t>1783018678.464282</t>
  </si>
  <si>
    <t>1783018683.685334</t>
  </si>
  <si>
    <t>1783018698.7705002</t>
  </si>
  <si>
    <t>1783018705.9854422</t>
  </si>
  <si>
    <t>1783018720.005985</t>
  </si>
  <si>
    <t>1783018739.365691</t>
  </si>
  <si>
    <t>1783018745.901221</t>
  </si>
  <si>
    <t>1783018760.054471</t>
  </si>
  <si>
    <t>1783018765.834124</t>
  </si>
  <si>
    <t>1783018779.9455922</t>
  </si>
  <si>
    <t>1783018787.5737112</t>
  </si>
  <si>
    <t>1783017796.975007</t>
  </si>
  <si>
    <t>1783017876.5711937</t>
  </si>
  <si>
    <t>1783017897.7829523</t>
  </si>
  <si>
    <t>1783017917.6423733</t>
  </si>
  <si>
    <t>1783017939.1205282</t>
  </si>
  <si>
    <t>1783017957.1253686</t>
  </si>
  <si>
    <t>1783017975.7630978</t>
  </si>
  <si>
    <t>1783017997.8565435</t>
  </si>
  <si>
    <t>1783018018.542315</t>
  </si>
  <si>
    <t>1783018038.6994076</t>
  </si>
  <si>
    <t>1783018057.6879547</t>
  </si>
  <si>
    <t>1783018079.5504515</t>
  </si>
  <si>
    <t>1783018098.7026334</t>
  </si>
  <si>
    <t>1783018118.242601</t>
  </si>
  <si>
    <t>1783018139.1446056</t>
  </si>
  <si>
    <t>1783018159.301458</t>
  </si>
  <si>
    <t>1783018178.165223</t>
  </si>
  <si>
    <t>1783018200.071721</t>
  </si>
  <si>
    <t>1783018217.4343004</t>
  </si>
  <si>
    <t>1783018240.1435018</t>
  </si>
  <si>
    <t>1783018259.2791498</t>
  </si>
  <si>
    <t>1783018279.8995223</t>
  </si>
  <si>
    <t>1783018340.2100842</t>
  </si>
  <si>
    <t>1783018359.4343417</t>
  </si>
  <si>
    <t>1783018420.4573317</t>
  </si>
  <si>
    <t>1783018440.0678277</t>
  </si>
  <si>
    <t>1783018460.0243878</t>
  </si>
  <si>
    <t>1783018479.1826084</t>
  </si>
  <si>
    <t>1783018501.815309</t>
  </si>
  <si>
    <t>1783018519.6527472</t>
  </si>
  <si>
    <t>1783018540.8111377</t>
  </si>
  <si>
    <t>1783018582.6741881</t>
  </si>
  <si>
    <t>1783018601.5266757</t>
  </si>
  <si>
    <t>1783018622.0566795</t>
  </si>
  <si>
    <t>1783018641.3519313</t>
  </si>
  <si>
    <t>1783018662.0478928</t>
  </si>
  <si>
    <t>1783018681.4000723</t>
  </si>
  <si>
    <t>1783018701.0273178</t>
  </si>
  <si>
    <t>1783018722.2053673</t>
  </si>
  <si>
    <t>1783018762.2660878</t>
  </si>
  <si>
    <t>1783018783.9246407</t>
  </si>
  <si>
    <t>1783020006.617313</t>
  </si>
  <si>
    <t>1783020012.536299</t>
  </si>
  <si>
    <t>1783020045.487129</t>
  </si>
  <si>
    <t>1783020050.403436</t>
  </si>
  <si>
    <t>1783020086.353353</t>
  </si>
  <si>
    <t>1783020093.383292</t>
  </si>
  <si>
    <t>1783020126.635094</t>
  </si>
  <si>
    <t>1783020136.347266</t>
  </si>
  <si>
    <t>1783020167.3358872</t>
  </si>
  <si>
    <t>1783020174.0981991</t>
  </si>
  <si>
    <t>1783020207.247263</t>
  </si>
  <si>
    <t>1783020213.6835158</t>
  </si>
  <si>
    <t>1783020247.138649</t>
  </si>
  <si>
    <t>1783020254.2938938</t>
  </si>
  <si>
    <t>1783020287.167048</t>
  </si>
  <si>
    <t>1783020291.165178</t>
  </si>
  <si>
    <t>1783020326.7043772</t>
  </si>
  <si>
    <t>1783020333.6799302</t>
  </si>
  <si>
    <t>1783020366.256931</t>
  </si>
  <si>
    <t>1783020372.294511</t>
  </si>
  <si>
    <t>1783020415.246271</t>
  </si>
  <si>
    <t>1783020420.423418</t>
  </si>
  <si>
    <t>1783020447.2505379</t>
  </si>
  <si>
    <t>1783020454.975438</t>
  </si>
  <si>
    <t>1783020487.456285</t>
  </si>
  <si>
    <t>1783020494.088054</t>
  </si>
  <si>
    <t>1783020535.735747</t>
  </si>
  <si>
    <t>1783020574.603737</t>
  </si>
  <si>
    <t>1783020607.5205371</t>
  </si>
  <si>
    <t>1783020648.6109052</t>
  </si>
  <si>
    <t>1783020654.189574</t>
  </si>
  <si>
    <t>1783020687.907444</t>
  </si>
  <si>
    <t>1783020693.847768</t>
  </si>
  <si>
    <t>1783020728.2282119</t>
  </si>
  <si>
    <t>1783020768.6440651</t>
  </si>
  <si>
    <t>1783020775.633368</t>
  </si>
  <si>
    <t>1783020807.583245</t>
  </si>
  <si>
    <t>1783020814.590511</t>
  </si>
  <si>
    <t>1783020847.973183</t>
  </si>
  <si>
    <t>1783020854.4282088</t>
  </si>
  <si>
    <t>1783020888.099489</t>
  </si>
  <si>
    <t>1783020929.3363788</t>
  </si>
  <si>
    <t>1783020935.1059148</t>
  </si>
  <si>
    <t>1783020968.8909938</t>
  </si>
  <si>
    <t>1783020975.131368</t>
  </si>
  <si>
    <t>1783021014.023936</t>
  </si>
  <si>
    <t>1783021048.9685209</t>
  </si>
  <si>
    <t>1783021053.766256</t>
  </si>
  <si>
    <t>1783021089.9078772</t>
  </si>
  <si>
    <t>1783021095.3393269</t>
  </si>
  <si>
    <t>1783021129.230193</t>
  </si>
  <si>
    <t>1783021134.468717</t>
  </si>
  <si>
    <t>1783021168.644286</t>
  </si>
  <si>
    <t>1783021175.217958</t>
  </si>
  <si>
    <t>1783021210.3563101</t>
  </si>
  <si>
    <t>1783021216.681664</t>
  </si>
  <si>
    <t>1783021249.244725</t>
  </si>
  <si>
    <t>1783021254.885762</t>
  </si>
  <si>
    <t>1783021289.9566562</t>
  </si>
  <si>
    <t>1783021295.345245</t>
  </si>
  <si>
    <t>1783021330.746502</t>
  </si>
  <si>
    <t>1783021334.924577</t>
  </si>
  <si>
    <t>1783021370.341486</t>
  </si>
  <si>
    <t>1783021376.363456</t>
  </si>
  <si>
    <t>1783021410.055882</t>
  </si>
  <si>
    <t>1783021416.291614</t>
  </si>
  <si>
    <t>1783021450.530965</t>
  </si>
  <si>
    <t>1783021461.330689</t>
  </si>
  <si>
    <t>1783021491.013451</t>
  </si>
  <si>
    <t>1783021497.3914392</t>
  </si>
  <si>
    <t>1783021529.7753322</t>
  </si>
  <si>
    <t>1783021536.332721</t>
  </si>
  <si>
    <t>1783021569.878558</t>
  </si>
  <si>
    <t>1783021575.0866618</t>
  </si>
  <si>
    <t>1783021611.151037</t>
  </si>
  <si>
    <t>1783021619.4414651</t>
  </si>
  <si>
    <t>1783021650.929569</t>
  </si>
  <si>
    <t>1783021658.3794491</t>
  </si>
  <si>
    <t>1783021691.7993448</t>
  </si>
  <si>
    <t>1783021698.0168169</t>
  </si>
  <si>
    <t>1783021730.9449139</t>
  </si>
  <si>
    <t>1783021736.2721448</t>
  </si>
  <si>
    <t>1783021771.6842911</t>
  </si>
  <si>
    <t>1783021778.170353</t>
  </si>
  <si>
    <t>1783021811.365782</t>
  </si>
  <si>
    <t>1783021817.685408</t>
  </si>
  <si>
    <t>1783021852.187083</t>
  </si>
  <si>
    <t>1783021858.791871</t>
  </si>
  <si>
    <t>1783021891.424721</t>
  </si>
  <si>
    <t>1783021895.9986281</t>
  </si>
  <si>
    <t>1783021942.009213</t>
  </si>
  <si>
    <t>1783021970.9373922</t>
  </si>
  <si>
    <t>1783021977.984843</t>
  </si>
  <si>
    <t>1783020009.1909359</t>
  </si>
  <si>
    <t>1783020048.4355614</t>
  </si>
  <si>
    <t>1783020089.5891953</t>
  </si>
  <si>
    <t>1783020129.6820269</t>
  </si>
  <si>
    <t>1783020170.098229</t>
  </si>
  <si>
    <t>1783020209.8095245</t>
  </si>
  <si>
    <t>1783020250.4459383</t>
  </si>
  <si>
    <t>1783020288.949084</t>
  </si>
  <si>
    <t>1783020329.9410114</t>
  </si>
  <si>
    <t>1783020369.1313133</t>
  </si>
  <si>
    <t>1783020417.1983883</t>
  </si>
  <si>
    <t>1783020450.6309817</t>
  </si>
  <si>
    <t>1783020490.0108051</t>
  </si>
  <si>
    <t>1783020576.7580526</t>
  </si>
  <si>
    <t>1783020650.6331878</t>
  </si>
  <si>
    <t>1783020689.8521705</t>
  </si>
  <si>
    <t>1783020810.7268763</t>
  </si>
  <si>
    <t>1783020850.3632212</t>
  </si>
  <si>
    <t>1783020931.2313225</t>
  </si>
  <si>
    <t>1783020970.971477</t>
  </si>
  <si>
    <t>1783021010.1398838</t>
  </si>
  <si>
    <t>1783021051.1661298</t>
  </si>
  <si>
    <t>1783021092.2036004</t>
  </si>
  <si>
    <t>1783021132.334375</t>
  </si>
  <si>
    <t>1783021171.6324637</t>
  </si>
  <si>
    <t>1783021213.1885583</t>
  </si>
  <si>
    <t>1783021251.7899742</t>
  </si>
  <si>
    <t>1783021292.2302663</t>
  </si>
  <si>
    <t>1783021331.1475167</t>
  </si>
  <si>
    <t>1783021372.8738785</t>
  </si>
  <si>
    <t>1783021412.3699803</t>
  </si>
  <si>
    <t>1783021457.3780067</t>
  </si>
  <si>
    <t>1783021493.6237774</t>
  </si>
  <si>
    <t>1783021533.1171381</t>
  </si>
  <si>
    <t>1783021572.4103084</t>
  </si>
  <si>
    <t>1783021615.3440714</t>
  </si>
  <si>
    <t>1783021654.3890593</t>
  </si>
  <si>
    <t>1783021694.3642719</t>
  </si>
  <si>
    <t>1783021732.6940596</t>
  </si>
  <si>
    <t>1783021773.8305976</t>
  </si>
  <si>
    <t>1783021813.1736376</t>
  </si>
  <si>
    <t>1783021854.7547104</t>
  </si>
  <si>
    <t>1783021893.9556863</t>
  </si>
  <si>
    <t>1783021937.6377027</t>
  </si>
  <si>
    <t>1783021973.9129288</t>
  </si>
  <si>
    <t>1783023218.0770612</t>
  </si>
  <si>
    <t>1783023222.555608</t>
  </si>
  <si>
    <t>1783023278.224046</t>
  </si>
  <si>
    <t>1783023283.585782</t>
  </si>
  <si>
    <t>1783023337.960906</t>
  </si>
  <si>
    <t>1783023399.084385</t>
  </si>
  <si>
    <t>1783023403.5687401</t>
  </si>
  <si>
    <t>1783023458.342535</t>
  </si>
  <si>
    <t>1783023464.338372</t>
  </si>
  <si>
    <t>1783023525.410027</t>
  </si>
  <si>
    <t>1783023579.078827</t>
  </si>
  <si>
    <t>1783023585.401082</t>
  </si>
  <si>
    <t>1783023639.428298</t>
  </si>
  <si>
    <t>1783023643.669145</t>
  </si>
  <si>
    <t>1783023698.824466</t>
  </si>
  <si>
    <t>1783023704.440625</t>
  </si>
  <si>
    <t>1783023760.074839</t>
  </si>
  <si>
    <t>1783023767.118054</t>
  </si>
  <si>
    <t>1783023818.806252</t>
  </si>
  <si>
    <t>1783023824.467944</t>
  </si>
  <si>
    <t>1783023879.873667</t>
  </si>
  <si>
    <t>1783023939.2968059</t>
  </si>
  <si>
    <t>1783023944.6199849</t>
  </si>
  <si>
    <t>1783023999.403658</t>
  </si>
  <si>
    <t>1783024004.986145</t>
  </si>
  <si>
    <t>1783024059.003235</t>
  </si>
  <si>
    <t>1783024066.0825238</t>
  </si>
  <si>
    <t>1783024120.595226</t>
  </si>
  <si>
    <t>1783024126.135933</t>
  </si>
  <si>
    <t>1783024179.599832</t>
  </si>
  <si>
    <t>1783024185.105421</t>
  </si>
  <si>
    <t>1783024240.118091</t>
  </si>
  <si>
    <t>1783024301.2874591</t>
  </si>
  <si>
    <t>1783024308.656608</t>
  </si>
  <si>
    <t>1783024360.586373</t>
  </si>
  <si>
    <t>1783024365.090655</t>
  </si>
  <si>
    <t>1783024420.305384</t>
  </si>
  <si>
    <t>1783024425.8474162</t>
  </si>
  <si>
    <t>1783024481.1640499</t>
  </si>
  <si>
    <t>1783024487.7640572</t>
  </si>
  <si>
    <t>1783024540.7804952</t>
  </si>
  <si>
    <t>1783024544.467413</t>
  </si>
  <si>
    <t>1783024601.386694</t>
  </si>
  <si>
    <t>1783024606.598825</t>
  </si>
  <si>
    <t>1783024660.817557</t>
  </si>
  <si>
    <t>1783024667.399724</t>
  </si>
  <si>
    <t>1783024720.5919628</t>
  </si>
  <si>
    <t>1783024726.848514</t>
  </si>
  <si>
    <t>1783024780.414491</t>
  </si>
  <si>
    <t>1783024787.6273952</t>
  </si>
  <si>
    <t>1783024842.786788</t>
  </si>
  <si>
    <t>1783024852.655255</t>
  </si>
  <si>
    <t>1783024900.728478</t>
  </si>
  <si>
    <t>1783024907.2535958</t>
  </si>
  <si>
    <t>1783024960.8114429</t>
  </si>
  <si>
    <t>1783024968.2603421</t>
  </si>
  <si>
    <t>1783025021.1817548</t>
  </si>
  <si>
    <t>1783025026.843746</t>
  </si>
  <si>
    <t>1783025082.258231</t>
  </si>
  <si>
    <t>1783025088.203713</t>
  </si>
  <si>
    <t>1783025141.135623</t>
  </si>
  <si>
    <t>1783025147.149954</t>
  </si>
  <si>
    <t>1783025201.970176</t>
  </si>
  <si>
    <t>1783025208.2488692</t>
  </si>
  <si>
    <t>1783025267.9985569</t>
  </si>
  <si>
    <t>1783025321.636084</t>
  </si>
  <si>
    <t>1783025328.258901</t>
  </si>
  <si>
    <t>1783025382.8852942</t>
  </si>
  <si>
    <t>1783025392.027153</t>
  </si>
  <si>
    <t>1783025441.8441658</t>
  </si>
  <si>
    <t>1783025448.565184</t>
  </si>
  <si>
    <t>1783025502.774635</t>
  </si>
  <si>
    <t>1783025563.347266</t>
  </si>
  <si>
    <t>1783025569.6220438</t>
  </si>
  <si>
    <t>1783025622.0078552</t>
  </si>
  <si>
    <t>1783025627.895286</t>
  </si>
  <si>
    <t>1783025682.875123</t>
  </si>
  <si>
    <t>1783025689.5655968</t>
  </si>
  <si>
    <t>1783025742.122546</t>
  </si>
  <si>
    <t>1783025749.131053</t>
  </si>
  <si>
    <t>1783025803.1497002</t>
  </si>
  <si>
    <t>1783025809.940373</t>
  </si>
  <si>
    <t>1783025863.7866418</t>
  </si>
  <si>
    <t>1783025870.2543612</t>
  </si>
  <si>
    <t>1783025922.596469</t>
  </si>
  <si>
    <t>1783025929.647912</t>
  </si>
  <si>
    <t>1783025982.7998772</t>
  </si>
  <si>
    <t>1783025988.5636008</t>
  </si>
  <si>
    <t>1783026042.7925959</t>
  </si>
  <si>
    <t>1783026048.040289</t>
  </si>
  <si>
    <t>1783026104.085027</t>
  </si>
  <si>
    <t>1783026110.213517</t>
  </si>
  <si>
    <t>1783026164.311649</t>
  </si>
  <si>
    <t>1783026170.619411</t>
  </si>
  <si>
    <t>1783023220.294314</t>
  </si>
  <si>
    <t>1783023281.2951837</t>
  </si>
  <si>
    <t>1783023401.4463255</t>
  </si>
  <si>
    <t>1783023460.720505</t>
  </si>
  <si>
    <t>1783023522.363445</t>
  </si>
  <si>
    <t>1783023581.8370068</t>
  </si>
  <si>
    <t>1783023641.5861545</t>
  </si>
  <si>
    <t>1783023700.9054506</t>
  </si>
  <si>
    <t>1783023762.3203762</t>
  </si>
  <si>
    <t>1783023821.043258</t>
  </si>
  <si>
    <t>1783023881.9785447</t>
  </si>
  <si>
    <t>1783023941.1530247</t>
  </si>
  <si>
    <t>1783024001.5015004</t>
  </si>
  <si>
    <t>1783024061.6665897</t>
  </si>
  <si>
    <t>1783024124.0418756</t>
  </si>
  <si>
    <t>1783024181.8492284</t>
  </si>
  <si>
    <t>1783024242.4739223</t>
  </si>
  <si>
    <t>1783024304.8524876</t>
  </si>
  <si>
    <t>1783024363.1382768</t>
  </si>
  <si>
    <t>1783024422.1482494</t>
  </si>
  <si>
    <t>1783024484.0430813</t>
  </si>
  <si>
    <t>1783024542.6058419</t>
  </si>
  <si>
    <t>1783024603.1101677</t>
  </si>
  <si>
    <t>1783024663.877898</t>
  </si>
  <si>
    <t>1783024723.4769058</t>
  </si>
  <si>
    <t>1783024783.9545362</t>
  </si>
  <si>
    <t>1783024846.9536617</t>
  </si>
  <si>
    <t>1783024904.0810473</t>
  </si>
  <si>
    <t>1783024963.7753386</t>
  </si>
  <si>
    <t>1783025023.290004</t>
  </si>
  <si>
    <t>1783025084.1773531</t>
  </si>
  <si>
    <t>1783025144.4573555</t>
  </si>
  <si>
    <t>1783025204.8929207</t>
  </si>
  <si>
    <t>1783025264.4557457</t>
  </si>
  <si>
    <t>1783025324.7826767</t>
  </si>
  <si>
    <t>1783025385.939465</t>
  </si>
  <si>
    <t>1783025444.8950305</t>
  </si>
  <si>
    <t>1783025505.7484374</t>
  </si>
  <si>
    <t>1783025566.0247033</t>
  </si>
  <si>
    <t>1783025624.4842732</t>
  </si>
  <si>
    <t>1783025686.1137552</t>
  </si>
  <si>
    <t>1783025745.4448762</t>
  </si>
  <si>
    <t>1783025806.2260494</t>
  </si>
  <si>
    <t>1783025866.7525723</t>
  </si>
  <si>
    <t>1783025926.092123</t>
  </si>
  <si>
    <t>1783025984.7979727</t>
  </si>
  <si>
    <t>1783026044.6980524</t>
  </si>
  <si>
    <t>1783026106.8147213</t>
  </si>
  <si>
    <t>1783026166.9951782</t>
  </si>
  <si>
    <t>MORNING</t>
  </si>
  <si>
    <t>AFTERNOON</t>
  </si>
  <si>
    <t>ALL ACK PACKET NUMBERS</t>
  </si>
  <si>
    <t>latency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</si>
</sst>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quotePrefix="1"/>
    <xf numFmtId="0" fontId="19" fillId="0" borderId="0" xfId="0" applyFont="1"/>
    <xf numFmtId="0" fontId="0" fillId="0" borderId="0" xfId="0" applyFill="1"/>
    <xf numFmtId="0" fontId="0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Morning - DR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total!$A$2</c:f>
              <c:strCache>
                <c:ptCount val="1"/>
                <c:pt idx="0">
                  <c:v>DR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total!$B$2:$E$2</c:f>
              <c:numCache>
                <c:formatCode>General</c:formatCode>
                <c:ptCount val="4"/>
                <c:pt idx="0">
                  <c:v>74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D-D344-835C-75784A2F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38288"/>
        <c:axId val="1080008896"/>
      </c:lineChart>
      <c:catAx>
        <c:axId val="5944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08896"/>
        <c:crosses val="autoZero"/>
        <c:auto val="1"/>
        <c:lblAlgn val="ctr"/>
        <c:lblOffset val="100"/>
        <c:noMultiLvlLbl val="0"/>
      </c:catAx>
      <c:valAx>
        <c:axId val="108000889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3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Morning - ACKs received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total!$A$10</c:f>
              <c:strCache>
                <c:ptCount val="1"/>
                <c:pt idx="0">
                  <c:v>ACKs received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total!$B$10:$E$10</c:f>
              <c:numCache>
                <c:formatCode>General</c:formatCode>
                <c:ptCount val="4"/>
                <c:pt idx="0">
                  <c:v>26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D-C24A-B31C-DDB800E8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278240"/>
        <c:axId val="1349804160"/>
      </c:lineChart>
      <c:catAx>
        <c:axId val="20272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04160"/>
        <c:crosses val="autoZero"/>
        <c:auto val="1"/>
        <c:lblAlgn val="ctr"/>
        <c:lblOffset val="100"/>
        <c:noMultiLvlLbl val="0"/>
      </c:catAx>
      <c:valAx>
        <c:axId val="1349804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2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Afternoon - DR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total!$A$17</c:f>
              <c:strCache>
                <c:ptCount val="1"/>
                <c:pt idx="0">
                  <c:v>DR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total!$B$16:$E$16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total!$B$17:$E$17</c:f>
              <c:numCache>
                <c:formatCode>General</c:formatCode>
                <c:ptCount val="4"/>
                <c:pt idx="0">
                  <c:v>78</c:v>
                </c:pt>
                <c:pt idx="1">
                  <c:v>86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C-6640-BB2A-D63B7516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99440"/>
        <c:axId val="197401152"/>
      </c:lineChart>
      <c:catAx>
        <c:axId val="1973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1152"/>
        <c:crosses val="autoZero"/>
        <c:auto val="1"/>
        <c:lblAlgn val="ctr"/>
        <c:lblOffset val="100"/>
        <c:noMultiLvlLbl val="0"/>
      </c:catAx>
      <c:valAx>
        <c:axId val="197401152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Afternoon</a:t>
            </a:r>
            <a:r>
              <a:rPr lang="en-US" baseline="0"/>
              <a:t> - </a:t>
            </a:r>
            <a:r>
              <a:rPr lang="en-US"/>
              <a:t>ACKs received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total!$A$26</c:f>
              <c:strCache>
                <c:ptCount val="1"/>
                <c:pt idx="0">
                  <c:v>ACKs received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total!$B$16:$E$16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total!$B$26:$E$26</c:f>
              <c:numCache>
                <c:formatCode>General</c:formatCode>
                <c:ptCount val="4"/>
                <c:pt idx="0">
                  <c:v>34</c:v>
                </c:pt>
                <c:pt idx="1">
                  <c:v>86</c:v>
                </c:pt>
                <c:pt idx="2">
                  <c:v>92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C-594C-8D0F-D9B9931B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471808"/>
        <c:axId val="1410933040"/>
      </c:lineChart>
      <c:catAx>
        <c:axId val="141047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33040"/>
        <c:crosses val="autoZero"/>
        <c:auto val="1"/>
        <c:lblAlgn val="ctr"/>
        <c:lblOffset val="100"/>
        <c:noMultiLvlLbl val="0"/>
      </c:catAx>
      <c:valAx>
        <c:axId val="14109330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7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DR%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total!$B$2:$E$2</c:f>
              <c:numCache>
                <c:formatCode>General</c:formatCode>
                <c:ptCount val="4"/>
                <c:pt idx="0">
                  <c:v>74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54-1E43-81F9-FD122061CA31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total!$B$17:$E$17</c:f>
              <c:numCache>
                <c:formatCode>General</c:formatCode>
                <c:ptCount val="4"/>
                <c:pt idx="0">
                  <c:v>78</c:v>
                </c:pt>
                <c:pt idx="1">
                  <c:v>86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54-1E43-81F9-FD122061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545231"/>
        <c:axId val="1859546943"/>
      </c:line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ACKs Received per Packet Sent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total!$B$10:$E$10</c:f>
              <c:numCache>
                <c:formatCode>General</c:formatCode>
                <c:ptCount val="4"/>
                <c:pt idx="0">
                  <c:v>26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1-BB4D-8663-56B3D4667840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total!$B$26:$E$26</c:f>
              <c:numCache>
                <c:formatCode>General</c:formatCode>
                <c:ptCount val="4"/>
                <c:pt idx="0">
                  <c:v>34</c:v>
                </c:pt>
                <c:pt idx="1">
                  <c:v>86</c:v>
                </c:pt>
                <c:pt idx="2">
                  <c:v>92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1-BB4D-8663-56B3D466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545231"/>
        <c:axId val="1859546943"/>
      </c:line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Afternoon - Latency (avg)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total!$B$16:$E$16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total!$B$18:$E$18</c:f>
              <c:numCache>
                <c:formatCode>General</c:formatCode>
                <c:ptCount val="4"/>
                <c:pt idx="0">
                  <c:v>65.991809759384552</c:v>
                </c:pt>
                <c:pt idx="1">
                  <c:v>6.236659049987793</c:v>
                </c:pt>
                <c:pt idx="2">
                  <c:v>6.6167393456334649</c:v>
                </c:pt>
                <c:pt idx="3">
                  <c:v>6.2146381747965913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C-1F4D-BCFE-947FDC92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066272"/>
        <c:axId val="1770067984"/>
      </c:lineChart>
      <c:catAx>
        <c:axId val="17700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067984"/>
        <c:crosses val="autoZero"/>
        <c:auto val="1"/>
        <c:lblAlgn val="ctr"/>
        <c:lblOffset val="100"/>
        <c:noMultiLvlLbl val="0"/>
      </c:catAx>
      <c:valAx>
        <c:axId val="17700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06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DR%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total!$B$2:$E$2</c:f>
              <c:numCache>
                <c:formatCode>General</c:formatCode>
                <c:ptCount val="4"/>
                <c:pt idx="0">
                  <c:v>74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0-6C43-8CB8-F83AE9D7E622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total!$B$17:$E$17</c:f>
              <c:numCache>
                <c:formatCode>General</c:formatCode>
                <c:ptCount val="4"/>
                <c:pt idx="0">
                  <c:v>78</c:v>
                </c:pt>
                <c:pt idx="1">
                  <c:v>86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0-6C43-8CB8-F83AE9D7E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545231"/>
        <c:axId val="1859546943"/>
      </c:bar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Times - ACKs Received per Packet Sent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total!$B$10:$E$10</c:f>
              <c:numCache>
                <c:formatCode>General</c:formatCode>
                <c:ptCount val="4"/>
                <c:pt idx="0">
                  <c:v>26</c:v>
                </c:pt>
                <c:pt idx="1">
                  <c:v>98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7-9942-A30D-8D530A88DE3A}"/>
            </c:ext>
          </c:extLst>
        </c:ser>
        <c:ser>
          <c:idx val="2"/>
          <c:order val="1"/>
          <c:tx>
            <c:strRef>
              <c:f>total!$A$16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total!$B$1:$E$1</c:f>
              <c:strCache>
                <c:ptCount val="4"/>
                <c:pt idx="0">
                  <c:v>5sec</c:v>
                </c:pt>
                <c:pt idx="1">
                  <c:v>20sec</c:v>
                </c:pt>
                <c:pt idx="2">
                  <c:v>40sec</c:v>
                </c:pt>
                <c:pt idx="3">
                  <c:v>1min</c:v>
                </c:pt>
              </c:strCache>
            </c:strRef>
          </c:cat>
          <c:val>
            <c:numRef>
              <c:f>total!$B$26:$E$26</c:f>
              <c:numCache>
                <c:formatCode>General</c:formatCode>
                <c:ptCount val="4"/>
                <c:pt idx="0">
                  <c:v>34</c:v>
                </c:pt>
                <c:pt idx="1">
                  <c:v>86</c:v>
                </c:pt>
                <c:pt idx="2">
                  <c:v>92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7-9942-A30D-8D530A88D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545231"/>
        <c:axId val="1859546943"/>
      </c:barChart>
      <c:catAx>
        <c:axId val="18595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6943"/>
        <c:crosses val="autoZero"/>
        <c:auto val="1"/>
        <c:lblAlgn val="ctr"/>
        <c:lblOffset val="100"/>
        <c:noMultiLvlLbl val="0"/>
      </c:catAx>
      <c:valAx>
        <c:axId val="185954694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538842</xdr:colOff>
      <xdr:row>1</xdr:row>
      <xdr:rowOff>4235</xdr:rowOff>
    </xdr:from>
    <xdr:to>
      <xdr:col>17</xdr:col>
      <xdr:colOff>149980</xdr:colOff>
      <xdr:row>14</xdr:row>
      <xdr:rowOff>156635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AA149-CD98-D9B3-1C6C-C32E67999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97365</xdr:colOff>
      <xdr:row>1</xdr:row>
      <xdr:rowOff>10886</xdr:rowOff>
    </xdr:from>
    <xdr:to>
      <xdr:col>11</xdr:col>
      <xdr:colOff>546098</xdr:colOff>
      <xdr:row>14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F46E60-9674-9B4C-86D2-5A3F043C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415441</xdr:colOff>
      <xdr:row>14</xdr:row>
      <xdr:rowOff>151325</xdr:rowOff>
    </xdr:from>
    <xdr:to>
      <xdr:col>18</xdr:col>
      <xdr:colOff>15068</xdr:colOff>
      <xdr:row>29</xdr:row>
      <xdr:rowOff>31643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6E6A3-3C42-D35D-CF50-83CCA3D6B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835187</xdr:colOff>
      <xdr:row>14</xdr:row>
      <xdr:rowOff>162087</xdr:rowOff>
    </xdr:from>
    <xdr:to>
      <xdr:col>12</xdr:col>
      <xdr:colOff>424051</xdr:colOff>
      <xdr:row>29</xdr:row>
      <xdr:rowOff>42405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AC4C8D-66DB-E6A9-1539-1D1364012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384810</xdr:colOff>
      <xdr:row>30</xdr:row>
      <xdr:rowOff>177376</xdr:rowOff>
    </xdr:from>
    <xdr:to>
      <xdr:col>6</xdr:col>
      <xdr:colOff>177800</xdr:colOff>
      <xdr:row>47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64E98A-B865-4817-1DCE-672F5DEF8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177800</xdr:colOff>
      <xdr:row>30</xdr:row>
      <xdr:rowOff>190500</xdr:rowOff>
    </xdr:from>
    <xdr:to>
      <xdr:col>12</xdr:col>
      <xdr:colOff>580390</xdr:colOff>
      <xdr:row>47</xdr:row>
      <xdr:rowOff>152824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6CECB1-8421-6841-88F1-F69054179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38100</xdr:colOff>
      <xdr:row>14</xdr:row>
      <xdr:rowOff>171450</xdr:rowOff>
    </xdr:from>
    <xdr:to>
      <xdr:col>23</xdr:col>
      <xdr:colOff>419100</xdr:colOff>
      <xdr:row>29</xdr:row>
      <xdr:rowOff>69850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042DAA-B8B0-D471-B02B-E514E8E0D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558800</xdr:colOff>
      <xdr:row>31</xdr:row>
      <xdr:rowOff>0</xdr:rowOff>
    </xdr:from>
    <xdr:to>
      <xdr:col>19</xdr:col>
      <xdr:colOff>202414</xdr:colOff>
      <xdr:row>47</xdr:row>
      <xdr:rowOff>166431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6C68A7-0E67-814C-A10B-906A2894B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186267</xdr:colOff>
      <xdr:row>30</xdr:row>
      <xdr:rowOff>186267</xdr:rowOff>
    </xdr:from>
    <xdr:to>
      <xdr:col>25</xdr:col>
      <xdr:colOff>538056</xdr:colOff>
      <xdr:row>47</xdr:row>
      <xdr:rowOff>148591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092672-7739-8240-9525-B004FEE3E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1CF5-45EE-D744-8A7A-5D15E94B442E}">
  <sheetPr codeName="Sheet1">
    <tabColor rgb="FFFFFF00"/>
  </sheetPr>
  <dimension ref="A1:I38"/>
  <sheetViews>
    <sheetView workbookViewId="0">
      <selection activeCell="H3" sqref="H3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</row>
    <row r="2" spans="1:9" x14ac:dyDescent="0.2">
      <c r="A2">
        <v>251032843</v>
      </c>
      <c r="B2" t="s">
        <v>0</v>
      </c>
      <c r="C2" t="s">
        <v>1</v>
      </c>
      <c r="D2">
        <v>200</v>
      </c>
      <c r="E2">
        <v>2</v>
      </c>
      <c r="F2">
        <v>2</v>
      </c>
      <c r="G2">
        <v>1782995015.7100999</v>
      </c>
      <c r="H2">
        <v>-138</v>
      </c>
      <c r="I2">
        <v>-13</v>
      </c>
    </row>
    <row r="3" spans="1:9" x14ac:dyDescent="0.2">
      <c r="A3">
        <v>724250890</v>
      </c>
      <c r="B3" t="s">
        <v>0</v>
      </c>
      <c r="C3" t="s">
        <v>1</v>
      </c>
      <c r="D3">
        <v>8</v>
      </c>
      <c r="E3">
        <v>2</v>
      </c>
      <c r="F3">
        <v>1</v>
      </c>
      <c r="G3">
        <v>1782995010.5966301</v>
      </c>
      <c r="H3">
        <v>-134</v>
      </c>
      <c r="I3">
        <v>-9.75</v>
      </c>
    </row>
    <row r="4" spans="1:9" x14ac:dyDescent="0.2">
      <c r="A4">
        <v>1831836940</v>
      </c>
      <c r="B4" t="s">
        <v>0</v>
      </c>
      <c r="C4" t="s">
        <v>1</v>
      </c>
      <c r="D4">
        <v>200</v>
      </c>
      <c r="E4">
        <v>2</v>
      </c>
      <c r="F4">
        <v>3</v>
      </c>
      <c r="G4">
        <v>1782995020.8206501</v>
      </c>
      <c r="H4">
        <v>-139</v>
      </c>
      <c r="I4">
        <v>-13.5</v>
      </c>
    </row>
    <row r="5" spans="1:9" x14ac:dyDescent="0.2">
      <c r="A5">
        <v>2642302221</v>
      </c>
      <c r="B5" t="s">
        <v>0</v>
      </c>
      <c r="C5" t="s">
        <v>1</v>
      </c>
      <c r="D5">
        <v>8</v>
      </c>
      <c r="E5">
        <v>2</v>
      </c>
      <c r="F5">
        <v>4</v>
      </c>
      <c r="G5">
        <v>1782995025.9291699</v>
      </c>
      <c r="H5">
        <v>-133</v>
      </c>
      <c r="I5">
        <v>-8.5</v>
      </c>
    </row>
    <row r="6" spans="1:9" x14ac:dyDescent="0.2">
      <c r="A6">
        <v>421895438</v>
      </c>
      <c r="B6" t="s">
        <v>0</v>
      </c>
      <c r="C6" t="s">
        <v>1</v>
      </c>
      <c r="D6">
        <v>200</v>
      </c>
      <c r="E6">
        <v>2</v>
      </c>
      <c r="F6">
        <v>5</v>
      </c>
      <c r="G6">
        <v>1782995031.0373199</v>
      </c>
      <c r="H6">
        <v>-139</v>
      </c>
      <c r="I6">
        <v>-14.5</v>
      </c>
    </row>
    <row r="7" spans="1:9" x14ac:dyDescent="0.2">
      <c r="A7">
        <v>1050147087</v>
      </c>
      <c r="B7" t="s">
        <v>0</v>
      </c>
      <c r="C7" t="s">
        <v>1</v>
      </c>
      <c r="D7">
        <v>200</v>
      </c>
      <c r="E7">
        <v>2</v>
      </c>
      <c r="F7">
        <v>6</v>
      </c>
      <c r="G7">
        <v>1782995036.15099</v>
      </c>
      <c r="H7">
        <v>-139</v>
      </c>
      <c r="I7">
        <v>-14</v>
      </c>
    </row>
    <row r="8" spans="1:9" x14ac:dyDescent="0.2">
      <c r="A8">
        <v>79485200</v>
      </c>
      <c r="B8" t="s">
        <v>0</v>
      </c>
      <c r="C8" t="s">
        <v>1</v>
      </c>
      <c r="D8">
        <v>200</v>
      </c>
      <c r="E8">
        <v>2</v>
      </c>
      <c r="F8">
        <v>7</v>
      </c>
      <c r="G8">
        <v>1782995041.2644601</v>
      </c>
      <c r="H8">
        <v>-139</v>
      </c>
      <c r="I8">
        <v>-13.75</v>
      </c>
    </row>
    <row r="9" spans="1:9" x14ac:dyDescent="0.2">
      <c r="A9">
        <v>263431441</v>
      </c>
      <c r="B9" t="s">
        <v>0</v>
      </c>
      <c r="C9" t="s">
        <v>1</v>
      </c>
      <c r="D9">
        <v>200</v>
      </c>
      <c r="E9">
        <v>2</v>
      </c>
      <c r="F9">
        <v>8</v>
      </c>
      <c r="G9">
        <v>1782995046.3729</v>
      </c>
      <c r="H9">
        <v>-139</v>
      </c>
      <c r="I9">
        <v>-13.75</v>
      </c>
    </row>
    <row r="10" spans="1:9" x14ac:dyDescent="0.2">
      <c r="A10">
        <v>3987654930</v>
      </c>
      <c r="B10" t="s">
        <v>0</v>
      </c>
      <c r="C10" t="s">
        <v>1</v>
      </c>
      <c r="D10">
        <v>8</v>
      </c>
      <c r="E10">
        <v>2</v>
      </c>
      <c r="F10">
        <v>9</v>
      </c>
      <c r="G10">
        <v>1782995051.4860599</v>
      </c>
      <c r="H10">
        <v>-134</v>
      </c>
      <c r="I10">
        <v>-9.75</v>
      </c>
    </row>
    <row r="11" spans="1:9" x14ac:dyDescent="0.2">
      <c r="A11">
        <v>1629228307</v>
      </c>
      <c r="B11" t="s">
        <v>0</v>
      </c>
      <c r="C11" t="s">
        <v>1</v>
      </c>
      <c r="D11">
        <v>200</v>
      </c>
      <c r="E11">
        <v>2</v>
      </c>
      <c r="F11">
        <v>10</v>
      </c>
      <c r="G11">
        <v>1782995056.59656</v>
      </c>
      <c r="H11">
        <v>-138</v>
      </c>
      <c r="I11">
        <v>-13.75</v>
      </c>
    </row>
    <row r="12" spans="1:9" x14ac:dyDescent="0.2">
      <c r="A12">
        <v>1398049044</v>
      </c>
      <c r="B12" t="s">
        <v>0</v>
      </c>
      <c r="C12" t="s">
        <v>1</v>
      </c>
      <c r="D12">
        <v>200</v>
      </c>
      <c r="E12">
        <v>2</v>
      </c>
      <c r="F12">
        <v>11</v>
      </c>
      <c r="G12">
        <v>1782995061.7055099</v>
      </c>
      <c r="H12">
        <v>-138</v>
      </c>
      <c r="I12">
        <v>-13</v>
      </c>
    </row>
    <row r="13" spans="1:9" x14ac:dyDescent="0.2">
      <c r="A13">
        <v>2209050901</v>
      </c>
      <c r="B13" t="s">
        <v>0</v>
      </c>
      <c r="C13" t="s">
        <v>1</v>
      </c>
      <c r="D13">
        <v>200</v>
      </c>
      <c r="E13">
        <v>2</v>
      </c>
      <c r="F13">
        <v>12</v>
      </c>
      <c r="G13">
        <v>1782995066.81896</v>
      </c>
      <c r="H13">
        <v>-138</v>
      </c>
      <c r="I13">
        <v>-13.25</v>
      </c>
    </row>
    <row r="14" spans="1:9" x14ac:dyDescent="0.2">
      <c r="A14">
        <v>1129714966</v>
      </c>
      <c r="B14" t="s">
        <v>0</v>
      </c>
      <c r="C14" t="s">
        <v>1</v>
      </c>
      <c r="D14">
        <v>200</v>
      </c>
      <c r="E14">
        <v>2</v>
      </c>
      <c r="F14">
        <v>13</v>
      </c>
      <c r="G14">
        <v>1782995071.93206</v>
      </c>
      <c r="H14">
        <v>-139</v>
      </c>
      <c r="I14">
        <v>-14</v>
      </c>
    </row>
    <row r="15" spans="1:9" x14ac:dyDescent="0.2">
      <c r="A15">
        <v>837845272</v>
      </c>
      <c r="B15" t="s">
        <v>0</v>
      </c>
      <c r="C15" t="s">
        <v>1</v>
      </c>
      <c r="D15">
        <v>200</v>
      </c>
      <c r="E15">
        <v>2</v>
      </c>
      <c r="F15">
        <v>15</v>
      </c>
      <c r="G15">
        <v>1782995082.15325</v>
      </c>
      <c r="H15">
        <v>-139</v>
      </c>
      <c r="I15">
        <v>-13.5</v>
      </c>
    </row>
    <row r="16" spans="1:9" x14ac:dyDescent="0.2">
      <c r="A16">
        <v>4201083162</v>
      </c>
      <c r="B16" t="s">
        <v>0</v>
      </c>
      <c r="C16" t="s">
        <v>1</v>
      </c>
      <c r="D16">
        <v>8</v>
      </c>
      <c r="E16">
        <v>2</v>
      </c>
      <c r="F16">
        <v>17</v>
      </c>
      <c r="G16">
        <v>1782995092.3778</v>
      </c>
      <c r="H16">
        <v>-134</v>
      </c>
      <c r="I16">
        <v>-8.5</v>
      </c>
    </row>
    <row r="17" spans="1:9" x14ac:dyDescent="0.2">
      <c r="A17">
        <v>4110951705</v>
      </c>
      <c r="B17" t="s">
        <v>0</v>
      </c>
      <c r="C17" t="s">
        <v>1</v>
      </c>
      <c r="D17">
        <v>200</v>
      </c>
      <c r="E17">
        <v>2</v>
      </c>
      <c r="F17">
        <v>16</v>
      </c>
      <c r="G17">
        <v>1782995087.2664199</v>
      </c>
      <c r="H17">
        <v>-138</v>
      </c>
      <c r="I17">
        <v>-13</v>
      </c>
    </row>
    <row r="18" spans="1:9" x14ac:dyDescent="0.2">
      <c r="A18">
        <v>4289831195</v>
      </c>
      <c r="B18" t="s">
        <v>0</v>
      </c>
      <c r="C18" t="s">
        <v>1</v>
      </c>
      <c r="D18">
        <v>200</v>
      </c>
      <c r="E18">
        <v>2</v>
      </c>
      <c r="F18">
        <v>18</v>
      </c>
      <c r="G18">
        <v>1782995097.4828701</v>
      </c>
      <c r="H18">
        <v>-138</v>
      </c>
      <c r="I18">
        <v>-13.75</v>
      </c>
    </row>
    <row r="19" spans="1:9" x14ac:dyDescent="0.2">
      <c r="A19">
        <v>1130719516</v>
      </c>
      <c r="B19" t="s">
        <v>0</v>
      </c>
      <c r="C19" t="s">
        <v>1</v>
      </c>
      <c r="D19">
        <v>8</v>
      </c>
      <c r="E19">
        <v>2</v>
      </c>
      <c r="F19">
        <v>19</v>
      </c>
      <c r="G19">
        <v>1782995102.59392</v>
      </c>
      <c r="H19">
        <v>-135</v>
      </c>
      <c r="I19">
        <v>-10.5</v>
      </c>
    </row>
    <row r="20" spans="1:9" x14ac:dyDescent="0.2">
      <c r="A20">
        <v>306826525</v>
      </c>
      <c r="B20" t="s">
        <v>0</v>
      </c>
      <c r="C20" t="s">
        <v>1</v>
      </c>
      <c r="D20">
        <v>200</v>
      </c>
      <c r="E20">
        <v>2</v>
      </c>
      <c r="F20">
        <v>20</v>
      </c>
      <c r="G20">
        <v>1782995107.70172</v>
      </c>
      <c r="H20">
        <v>-137</v>
      </c>
      <c r="I20">
        <v>-13.25</v>
      </c>
    </row>
    <row r="21" spans="1:9" x14ac:dyDescent="0.2">
      <c r="A21">
        <v>3361833247</v>
      </c>
      <c r="B21" t="s">
        <v>0</v>
      </c>
      <c r="C21" t="s">
        <v>1</v>
      </c>
      <c r="D21">
        <v>200</v>
      </c>
      <c r="E21">
        <v>2</v>
      </c>
      <c r="F21">
        <v>22</v>
      </c>
      <c r="G21">
        <v>1782995117.9181099</v>
      </c>
      <c r="H21">
        <v>-138</v>
      </c>
      <c r="I21">
        <v>-12.75</v>
      </c>
    </row>
    <row r="22" spans="1:9" x14ac:dyDescent="0.2">
      <c r="A22">
        <v>2911445280</v>
      </c>
      <c r="B22" t="s">
        <v>0</v>
      </c>
      <c r="C22" t="s">
        <v>1</v>
      </c>
      <c r="D22">
        <v>8</v>
      </c>
      <c r="E22">
        <v>2</v>
      </c>
      <c r="F22">
        <v>23</v>
      </c>
      <c r="G22">
        <v>1782995123.0262899</v>
      </c>
      <c r="H22">
        <v>-135</v>
      </c>
      <c r="I22">
        <v>-10</v>
      </c>
    </row>
    <row r="23" spans="1:9" x14ac:dyDescent="0.2">
      <c r="A23">
        <v>447178017</v>
      </c>
      <c r="B23" t="s">
        <v>0</v>
      </c>
      <c r="C23" t="s">
        <v>1</v>
      </c>
      <c r="D23">
        <v>8</v>
      </c>
      <c r="E23">
        <v>2</v>
      </c>
      <c r="F23">
        <v>24</v>
      </c>
      <c r="G23">
        <v>1782995128.1364501</v>
      </c>
      <c r="H23">
        <v>-134</v>
      </c>
      <c r="I23">
        <v>-10</v>
      </c>
    </row>
    <row r="24" spans="1:9" x14ac:dyDescent="0.2">
      <c r="A24">
        <v>3963149602</v>
      </c>
      <c r="B24" t="s">
        <v>0</v>
      </c>
      <c r="C24" t="s">
        <v>1</v>
      </c>
      <c r="D24">
        <v>8</v>
      </c>
      <c r="E24">
        <v>2</v>
      </c>
      <c r="F24">
        <v>25</v>
      </c>
      <c r="G24">
        <v>1782995133.24581</v>
      </c>
      <c r="H24">
        <v>-135</v>
      </c>
      <c r="I24">
        <v>-10.25</v>
      </c>
    </row>
    <row r="25" spans="1:9" x14ac:dyDescent="0.2">
      <c r="A25">
        <v>2206184761</v>
      </c>
      <c r="B25" t="s">
        <v>0</v>
      </c>
      <c r="C25" t="s">
        <v>1</v>
      </c>
      <c r="D25">
        <v>200</v>
      </c>
      <c r="E25">
        <v>1</v>
      </c>
      <c r="F25">
        <v>48</v>
      </c>
      <c r="G25">
        <v>1782995250.7451701</v>
      </c>
      <c r="H25">
        <v>-138</v>
      </c>
      <c r="I25">
        <v>-13.5</v>
      </c>
    </row>
    <row r="26" spans="1:9" x14ac:dyDescent="0.2">
      <c r="A26">
        <v>1201537315</v>
      </c>
      <c r="B26" t="s">
        <v>0</v>
      </c>
      <c r="C26" t="s">
        <v>1</v>
      </c>
      <c r="D26">
        <v>200</v>
      </c>
      <c r="E26">
        <v>2</v>
      </c>
      <c r="F26">
        <v>26</v>
      </c>
      <c r="G26">
        <v>1782995138.35374</v>
      </c>
      <c r="H26">
        <v>-139</v>
      </c>
      <c r="I26">
        <v>-14</v>
      </c>
    </row>
    <row r="27" spans="1:9" x14ac:dyDescent="0.2">
      <c r="A27">
        <v>3576684836</v>
      </c>
      <c r="B27" t="s">
        <v>0</v>
      </c>
      <c r="C27" t="s">
        <v>1</v>
      </c>
      <c r="D27">
        <v>200</v>
      </c>
      <c r="E27">
        <v>2</v>
      </c>
      <c r="F27">
        <v>27</v>
      </c>
      <c r="G27">
        <v>1782995143.4598601</v>
      </c>
      <c r="H27">
        <v>-139</v>
      </c>
      <c r="I27">
        <v>-13.5</v>
      </c>
    </row>
    <row r="28" spans="1:9" x14ac:dyDescent="0.2">
      <c r="A28">
        <v>2949228837</v>
      </c>
      <c r="B28" t="s">
        <v>0</v>
      </c>
      <c r="C28" t="s">
        <v>1</v>
      </c>
      <c r="D28">
        <v>200</v>
      </c>
      <c r="E28">
        <v>2</v>
      </c>
      <c r="F28">
        <v>28</v>
      </c>
      <c r="G28">
        <v>1782995148.56635</v>
      </c>
      <c r="H28">
        <v>-139</v>
      </c>
      <c r="I28">
        <v>-14</v>
      </c>
    </row>
    <row r="29" spans="1:9" x14ac:dyDescent="0.2">
      <c r="A29">
        <v>3921468710</v>
      </c>
      <c r="B29" t="s">
        <v>0</v>
      </c>
      <c r="C29" t="s">
        <v>1</v>
      </c>
      <c r="D29">
        <v>200</v>
      </c>
      <c r="E29">
        <v>2</v>
      </c>
      <c r="F29">
        <v>29</v>
      </c>
      <c r="G29">
        <v>1782995153.6754701</v>
      </c>
      <c r="H29">
        <v>-138</v>
      </c>
      <c r="I29">
        <v>-13.5</v>
      </c>
    </row>
    <row r="30" spans="1:9" x14ac:dyDescent="0.2">
      <c r="A30">
        <v>1562002728</v>
      </c>
      <c r="B30" t="s">
        <v>0</v>
      </c>
      <c r="C30" t="s">
        <v>1</v>
      </c>
      <c r="D30">
        <v>200</v>
      </c>
      <c r="E30">
        <v>2</v>
      </c>
      <c r="F30">
        <v>31</v>
      </c>
      <c r="G30">
        <v>1782995163.8936901</v>
      </c>
      <c r="H30">
        <v>-139</v>
      </c>
      <c r="I30">
        <v>-13.5</v>
      </c>
    </row>
    <row r="31" spans="1:9" x14ac:dyDescent="0.2">
      <c r="A31">
        <v>2867762473</v>
      </c>
      <c r="B31" t="s">
        <v>0</v>
      </c>
      <c r="C31" t="s">
        <v>1</v>
      </c>
      <c r="D31">
        <v>200</v>
      </c>
      <c r="E31">
        <v>2</v>
      </c>
      <c r="F31">
        <v>32</v>
      </c>
      <c r="G31">
        <v>1782995169.0004799</v>
      </c>
      <c r="H31">
        <v>-139</v>
      </c>
      <c r="I31">
        <v>-13.5</v>
      </c>
    </row>
    <row r="32" spans="1:9" x14ac:dyDescent="0.2">
      <c r="A32">
        <v>2972401963</v>
      </c>
      <c r="B32" t="s">
        <v>0</v>
      </c>
      <c r="C32" t="s">
        <v>1</v>
      </c>
      <c r="D32">
        <v>200</v>
      </c>
      <c r="E32">
        <v>2</v>
      </c>
      <c r="F32">
        <v>34</v>
      </c>
      <c r="G32">
        <v>1782995179.2191601</v>
      </c>
      <c r="H32">
        <v>-138</v>
      </c>
      <c r="I32">
        <v>-13.75</v>
      </c>
    </row>
    <row r="33" spans="1:9" x14ac:dyDescent="0.2">
      <c r="A33">
        <v>1412735277</v>
      </c>
      <c r="B33" t="s">
        <v>0</v>
      </c>
      <c r="C33" t="s">
        <v>1</v>
      </c>
      <c r="D33">
        <v>200</v>
      </c>
      <c r="E33">
        <v>2</v>
      </c>
      <c r="F33">
        <v>36</v>
      </c>
      <c r="G33">
        <v>1782995189.4412401</v>
      </c>
      <c r="H33">
        <v>-139</v>
      </c>
      <c r="I33">
        <v>-14</v>
      </c>
    </row>
    <row r="34" spans="1:9" x14ac:dyDescent="0.2">
      <c r="A34">
        <v>1254642991</v>
      </c>
      <c r="B34" t="s">
        <v>0</v>
      </c>
      <c r="C34" t="s">
        <v>1</v>
      </c>
      <c r="D34">
        <v>200</v>
      </c>
      <c r="E34">
        <v>2</v>
      </c>
      <c r="F34">
        <v>38</v>
      </c>
      <c r="G34">
        <v>1782995199.6596401</v>
      </c>
      <c r="H34">
        <v>-139</v>
      </c>
      <c r="I34">
        <v>-13.75</v>
      </c>
    </row>
    <row r="35" spans="1:9" x14ac:dyDescent="0.2">
      <c r="A35">
        <v>3094937908</v>
      </c>
      <c r="B35" t="s">
        <v>0</v>
      </c>
      <c r="C35" t="s">
        <v>1</v>
      </c>
      <c r="D35">
        <v>200</v>
      </c>
      <c r="E35">
        <v>2</v>
      </c>
      <c r="F35">
        <v>43</v>
      </c>
      <c r="G35">
        <v>1782995225.19187</v>
      </c>
      <c r="H35">
        <v>-139</v>
      </c>
      <c r="I35">
        <v>-14.25</v>
      </c>
    </row>
    <row r="36" spans="1:9" x14ac:dyDescent="0.2">
      <c r="A36">
        <v>3046011191</v>
      </c>
      <c r="B36" t="s">
        <v>0</v>
      </c>
      <c r="C36" t="s">
        <v>1</v>
      </c>
      <c r="D36">
        <v>200</v>
      </c>
      <c r="E36">
        <v>2</v>
      </c>
      <c r="F36">
        <v>46</v>
      </c>
      <c r="G36">
        <v>1782995240.5230899</v>
      </c>
      <c r="H36">
        <v>-139</v>
      </c>
      <c r="I36">
        <v>-14</v>
      </c>
    </row>
    <row r="37" spans="1:9" x14ac:dyDescent="0.2">
      <c r="A37">
        <v>3513686328</v>
      </c>
      <c r="B37" t="s">
        <v>0</v>
      </c>
      <c r="C37" t="s">
        <v>1</v>
      </c>
      <c r="D37">
        <v>200</v>
      </c>
      <c r="E37">
        <v>2</v>
      </c>
      <c r="F37">
        <v>47</v>
      </c>
      <c r="G37">
        <v>1782995245.6342001</v>
      </c>
      <c r="H37">
        <v>-139</v>
      </c>
      <c r="I37">
        <v>-14.25</v>
      </c>
    </row>
    <row r="38" spans="1:9" x14ac:dyDescent="0.2">
      <c r="A38">
        <v>3707590971</v>
      </c>
      <c r="B38" t="s">
        <v>0</v>
      </c>
      <c r="C38" t="s">
        <v>1</v>
      </c>
      <c r="D38">
        <v>200</v>
      </c>
      <c r="E38">
        <v>2</v>
      </c>
      <c r="F38">
        <v>50</v>
      </c>
      <c r="G38">
        <v>1782995260.96193</v>
      </c>
      <c r="H38">
        <v>-139</v>
      </c>
      <c r="I38">
        <v>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4886-36DE-0F49-8F81-8EF51243E1D5}">
  <sheetPr codeName="Sheet2">
    <tabColor rgb="FFFFFF00"/>
  </sheetPr>
  <dimension ref="A2:D19"/>
  <sheetViews>
    <sheetView workbookViewId="0">
      <selection activeCell="L21" sqref="L21"/>
    </sheetView>
  </sheetViews>
  <sheetFormatPr baseColWidth="10" defaultRowHeight="16" x14ac:dyDescent="0.2"/>
  <sheetData>
    <row r="2" spans="1:4" x14ac:dyDescent="0.2">
      <c r="A2">
        <v>724250890</v>
      </c>
      <c r="B2" s="2" t="s">
        <v>14</v>
      </c>
    </row>
    <row r="3" spans="1:4" x14ac:dyDescent="0.2">
      <c r="A3">
        <v>251032843</v>
      </c>
      <c r="B3">
        <v>1782995018.56845</v>
      </c>
    </row>
    <row r="4" spans="1:4" x14ac:dyDescent="0.2">
      <c r="A4">
        <v>724250890</v>
      </c>
      <c r="B4" s="2" t="s">
        <v>15</v>
      </c>
      <c r="C4">
        <v>-145</v>
      </c>
      <c r="D4">
        <v>-19.75</v>
      </c>
    </row>
    <row r="5" spans="1:4" x14ac:dyDescent="0.2">
      <c r="A5">
        <v>1831836940</v>
      </c>
      <c r="B5" s="2" t="s">
        <v>16</v>
      </c>
    </row>
    <row r="6" spans="1:4" x14ac:dyDescent="0.2">
      <c r="A6">
        <v>2642302221</v>
      </c>
      <c r="B6" s="2" t="s">
        <v>17</v>
      </c>
    </row>
    <row r="7" spans="1:4" x14ac:dyDescent="0.2">
      <c r="A7">
        <v>421895438</v>
      </c>
      <c r="B7" s="2" t="s">
        <v>18</v>
      </c>
    </row>
    <row r="8" spans="1:4" x14ac:dyDescent="0.2">
      <c r="A8">
        <v>1050147087</v>
      </c>
      <c r="B8" s="2" t="s">
        <v>19</v>
      </c>
    </row>
    <row r="9" spans="1:4" x14ac:dyDescent="0.2">
      <c r="A9">
        <v>2642302221</v>
      </c>
      <c r="B9" s="2" t="s">
        <v>20</v>
      </c>
      <c r="C9">
        <v>-112</v>
      </c>
      <c r="D9">
        <v>7.25</v>
      </c>
    </row>
    <row r="10" spans="1:4" x14ac:dyDescent="0.2">
      <c r="A10">
        <v>421895438</v>
      </c>
      <c r="B10" s="2" t="s">
        <v>21</v>
      </c>
      <c r="C10">
        <v>-143</v>
      </c>
      <c r="D10">
        <v>-20</v>
      </c>
    </row>
    <row r="11" spans="1:4" x14ac:dyDescent="0.2">
      <c r="A11">
        <v>79485200</v>
      </c>
      <c r="B11" s="2" t="s">
        <v>22</v>
      </c>
    </row>
    <row r="12" spans="1:4" x14ac:dyDescent="0.2">
      <c r="A12">
        <v>1050147087</v>
      </c>
      <c r="B12">
        <v>1782995056.8635001</v>
      </c>
      <c r="C12">
        <v>-113</v>
      </c>
      <c r="D12">
        <v>6.75</v>
      </c>
    </row>
    <row r="13" spans="1:4" x14ac:dyDescent="0.2">
      <c r="A13">
        <v>263431441</v>
      </c>
      <c r="B13" s="2" t="s">
        <v>23</v>
      </c>
    </row>
    <row r="14" spans="1:4" x14ac:dyDescent="0.2">
      <c r="A14">
        <v>263431441</v>
      </c>
      <c r="B14" s="2" t="s">
        <v>24</v>
      </c>
      <c r="C14">
        <v>-113</v>
      </c>
      <c r="D14">
        <v>7.25</v>
      </c>
    </row>
    <row r="15" spans="1:4" x14ac:dyDescent="0.2">
      <c r="A15">
        <v>1629228307</v>
      </c>
      <c r="B15" s="2" t="s">
        <v>25</v>
      </c>
      <c r="C15">
        <v>-113</v>
      </c>
      <c r="D15">
        <v>8.5</v>
      </c>
    </row>
    <row r="16" spans="1:4" x14ac:dyDescent="0.2">
      <c r="A16">
        <v>1398049044</v>
      </c>
      <c r="B16" s="2" t="s">
        <v>26</v>
      </c>
      <c r="C16">
        <v>-113</v>
      </c>
      <c r="D16">
        <v>5.5</v>
      </c>
    </row>
    <row r="17" spans="1:4" x14ac:dyDescent="0.2">
      <c r="A17">
        <v>4289831195</v>
      </c>
      <c r="B17" s="2" t="s">
        <v>27</v>
      </c>
      <c r="C17">
        <v>-112</v>
      </c>
      <c r="D17">
        <v>7.5</v>
      </c>
    </row>
    <row r="18" spans="1:4" x14ac:dyDescent="0.2">
      <c r="A18">
        <v>306826525</v>
      </c>
      <c r="B18" s="2" t="s">
        <v>28</v>
      </c>
      <c r="C18">
        <v>-115</v>
      </c>
      <c r="D18">
        <v>7.25</v>
      </c>
    </row>
    <row r="19" spans="1:4" x14ac:dyDescent="0.2">
      <c r="A19">
        <v>3361833247</v>
      </c>
      <c r="B19" s="2" t="s">
        <v>29</v>
      </c>
      <c r="C19">
        <v>-114</v>
      </c>
      <c r="D1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96D4-19AC-0C42-AC58-3E20EDCEA86E}">
  <sheetPr codeName="Sheet3">
    <tabColor rgb="FFFFFF00"/>
  </sheetPr>
  <dimension ref="A1:I50"/>
  <sheetViews>
    <sheetView workbookViewId="0">
      <selection activeCell="Q33" sqref="Q33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</row>
    <row r="2" spans="1:9" x14ac:dyDescent="0.2">
      <c r="A2">
        <v>4164637577</v>
      </c>
      <c r="B2" t="s">
        <v>0</v>
      </c>
      <c r="C2" t="s">
        <v>1</v>
      </c>
      <c r="D2">
        <v>200</v>
      </c>
      <c r="E2">
        <v>2</v>
      </c>
      <c r="F2">
        <v>1</v>
      </c>
      <c r="G2">
        <v>1782996471.9968901</v>
      </c>
      <c r="H2">
        <v>-138</v>
      </c>
      <c r="I2">
        <v>-13.5</v>
      </c>
    </row>
    <row r="3" spans="1:9" x14ac:dyDescent="0.2">
      <c r="A3">
        <v>3434371978</v>
      </c>
      <c r="B3" t="s">
        <v>0</v>
      </c>
      <c r="C3" t="s">
        <v>1</v>
      </c>
      <c r="D3">
        <v>200</v>
      </c>
      <c r="E3">
        <v>2</v>
      </c>
      <c r="F3">
        <v>2</v>
      </c>
      <c r="G3">
        <v>1782996492.1047101</v>
      </c>
      <c r="H3">
        <v>-139</v>
      </c>
      <c r="I3">
        <v>-13.5</v>
      </c>
    </row>
    <row r="4" spans="1:9" x14ac:dyDescent="0.2">
      <c r="A4">
        <v>2467580811</v>
      </c>
      <c r="B4" t="s">
        <v>0</v>
      </c>
      <c r="C4" t="s">
        <v>1</v>
      </c>
      <c r="D4">
        <v>200</v>
      </c>
      <c r="E4">
        <v>2</v>
      </c>
      <c r="F4">
        <v>3</v>
      </c>
      <c r="G4">
        <v>1782996512.2128301</v>
      </c>
      <c r="H4">
        <v>-138</v>
      </c>
      <c r="I4">
        <v>-13.25</v>
      </c>
    </row>
    <row r="5" spans="1:9" x14ac:dyDescent="0.2">
      <c r="A5">
        <v>3878669196</v>
      </c>
      <c r="B5" t="s">
        <v>0</v>
      </c>
      <c r="C5" t="s">
        <v>1</v>
      </c>
      <c r="D5">
        <v>200</v>
      </c>
      <c r="E5">
        <v>2</v>
      </c>
      <c r="F5">
        <v>4</v>
      </c>
      <c r="G5">
        <v>1782996532.3213401</v>
      </c>
      <c r="H5">
        <v>-140</v>
      </c>
      <c r="I5">
        <v>-13.75</v>
      </c>
    </row>
    <row r="6" spans="1:9" x14ac:dyDescent="0.2">
      <c r="A6">
        <v>3682053005</v>
      </c>
      <c r="B6" t="s">
        <v>0</v>
      </c>
      <c r="C6" t="s">
        <v>1</v>
      </c>
      <c r="D6">
        <v>200</v>
      </c>
      <c r="E6">
        <v>2</v>
      </c>
      <c r="F6">
        <v>5</v>
      </c>
      <c r="G6">
        <v>1782996552.43244</v>
      </c>
      <c r="H6">
        <v>-138</v>
      </c>
      <c r="I6">
        <v>-14</v>
      </c>
    </row>
    <row r="7" spans="1:9" x14ac:dyDescent="0.2">
      <c r="A7">
        <v>2050350990</v>
      </c>
      <c r="B7" t="s">
        <v>0</v>
      </c>
      <c r="C7" t="s">
        <v>1</v>
      </c>
      <c r="D7">
        <v>200</v>
      </c>
      <c r="E7">
        <v>2</v>
      </c>
      <c r="F7">
        <v>6</v>
      </c>
      <c r="G7">
        <v>1782996572.54333</v>
      </c>
      <c r="H7">
        <v>-138</v>
      </c>
      <c r="I7">
        <v>-13.75</v>
      </c>
    </row>
    <row r="8" spans="1:9" x14ac:dyDescent="0.2">
      <c r="A8">
        <v>2221574031</v>
      </c>
      <c r="B8" t="s">
        <v>0</v>
      </c>
      <c r="C8" t="s">
        <v>1</v>
      </c>
      <c r="D8">
        <v>200</v>
      </c>
      <c r="E8">
        <v>2</v>
      </c>
      <c r="F8">
        <v>7</v>
      </c>
      <c r="G8">
        <v>1782996592.65101</v>
      </c>
      <c r="H8">
        <v>-139</v>
      </c>
      <c r="I8">
        <v>-13.75</v>
      </c>
    </row>
    <row r="9" spans="1:9" x14ac:dyDescent="0.2">
      <c r="A9">
        <v>4009341840</v>
      </c>
      <c r="B9" t="s">
        <v>0</v>
      </c>
      <c r="C9" t="s">
        <v>1</v>
      </c>
      <c r="D9">
        <v>200</v>
      </c>
      <c r="E9">
        <v>2</v>
      </c>
      <c r="F9">
        <v>8</v>
      </c>
      <c r="G9">
        <v>1782996612.75842</v>
      </c>
      <c r="H9">
        <v>-139</v>
      </c>
      <c r="I9">
        <v>-13.75</v>
      </c>
    </row>
    <row r="10" spans="1:9" x14ac:dyDescent="0.2">
      <c r="A10">
        <v>300799889</v>
      </c>
      <c r="B10" t="s">
        <v>0</v>
      </c>
      <c r="C10" t="s">
        <v>1</v>
      </c>
      <c r="D10">
        <v>200</v>
      </c>
      <c r="E10">
        <v>2</v>
      </c>
      <c r="F10">
        <v>9</v>
      </c>
      <c r="G10">
        <v>1782996632.8636601</v>
      </c>
      <c r="H10">
        <v>-139</v>
      </c>
      <c r="I10">
        <v>-14</v>
      </c>
    </row>
    <row r="11" spans="1:9" x14ac:dyDescent="0.2">
      <c r="A11">
        <v>744574866</v>
      </c>
      <c r="B11" t="s">
        <v>0</v>
      </c>
      <c r="C11" t="s">
        <v>1</v>
      </c>
      <c r="D11">
        <v>200</v>
      </c>
      <c r="E11">
        <v>2</v>
      </c>
      <c r="F11">
        <v>10</v>
      </c>
      <c r="G11">
        <v>1782996652.97475</v>
      </c>
      <c r="H11">
        <v>-137</v>
      </c>
      <c r="I11">
        <v>-13.25</v>
      </c>
    </row>
    <row r="12" spans="1:9" x14ac:dyDescent="0.2">
      <c r="A12">
        <v>487651219</v>
      </c>
      <c r="B12" t="s">
        <v>0</v>
      </c>
      <c r="C12" t="s">
        <v>1</v>
      </c>
      <c r="D12">
        <v>200</v>
      </c>
      <c r="E12">
        <v>2</v>
      </c>
      <c r="F12">
        <v>11</v>
      </c>
      <c r="G12">
        <v>1782996673.07886</v>
      </c>
      <c r="H12">
        <v>-138</v>
      </c>
      <c r="I12">
        <v>-14</v>
      </c>
    </row>
    <row r="13" spans="1:9" x14ac:dyDescent="0.2">
      <c r="A13">
        <v>4234804116</v>
      </c>
      <c r="B13" t="s">
        <v>0</v>
      </c>
      <c r="C13" t="s">
        <v>1</v>
      </c>
      <c r="D13">
        <v>200</v>
      </c>
      <c r="E13">
        <v>2</v>
      </c>
      <c r="F13">
        <v>12</v>
      </c>
      <c r="G13">
        <v>1782996693.1918099</v>
      </c>
      <c r="H13">
        <v>-139</v>
      </c>
      <c r="I13">
        <v>-13.5</v>
      </c>
    </row>
    <row r="14" spans="1:9" x14ac:dyDescent="0.2">
      <c r="A14">
        <v>2144911253</v>
      </c>
      <c r="B14" t="s">
        <v>0</v>
      </c>
      <c r="C14" t="s">
        <v>1</v>
      </c>
      <c r="D14">
        <v>200</v>
      </c>
      <c r="E14">
        <v>2</v>
      </c>
      <c r="F14">
        <v>13</v>
      </c>
      <c r="G14">
        <v>1782996713.3018899</v>
      </c>
      <c r="H14">
        <v>-138</v>
      </c>
      <c r="I14">
        <v>-13.25</v>
      </c>
    </row>
    <row r="15" spans="1:9" x14ac:dyDescent="0.2">
      <c r="A15">
        <v>1451287446</v>
      </c>
      <c r="B15" t="s">
        <v>0</v>
      </c>
      <c r="C15" t="s">
        <v>1</v>
      </c>
      <c r="D15">
        <v>200</v>
      </c>
      <c r="E15">
        <v>2</v>
      </c>
      <c r="F15">
        <v>14</v>
      </c>
      <c r="G15">
        <v>1782996733.41536</v>
      </c>
      <c r="H15">
        <v>-139</v>
      </c>
      <c r="I15">
        <v>-13.75</v>
      </c>
    </row>
    <row r="16" spans="1:9" x14ac:dyDescent="0.2">
      <c r="A16">
        <v>3265542039</v>
      </c>
      <c r="B16" t="s">
        <v>0</v>
      </c>
      <c r="C16" t="s">
        <v>1</v>
      </c>
      <c r="D16">
        <v>200</v>
      </c>
      <c r="E16">
        <v>2</v>
      </c>
      <c r="F16">
        <v>15</v>
      </c>
      <c r="G16">
        <v>1782996753.52297</v>
      </c>
      <c r="H16">
        <v>-140</v>
      </c>
      <c r="I16">
        <v>-14.75</v>
      </c>
    </row>
    <row r="17" spans="1:9" x14ac:dyDescent="0.2">
      <c r="A17">
        <v>2312718232</v>
      </c>
      <c r="B17" t="s">
        <v>0</v>
      </c>
      <c r="C17" t="s">
        <v>1</v>
      </c>
      <c r="D17">
        <v>200</v>
      </c>
      <c r="E17">
        <v>2</v>
      </c>
      <c r="F17">
        <v>16</v>
      </c>
      <c r="G17">
        <v>1782996773.62798</v>
      </c>
      <c r="H17">
        <v>-138</v>
      </c>
      <c r="I17">
        <v>-13.25</v>
      </c>
    </row>
    <row r="18" spans="1:9" x14ac:dyDescent="0.2">
      <c r="A18">
        <v>2607583129</v>
      </c>
      <c r="B18" t="s">
        <v>0</v>
      </c>
      <c r="C18" t="s">
        <v>1</v>
      </c>
      <c r="D18">
        <v>200</v>
      </c>
      <c r="E18">
        <v>2</v>
      </c>
      <c r="F18">
        <v>17</v>
      </c>
      <c r="G18">
        <v>1782996793.73804</v>
      </c>
      <c r="H18">
        <v>-138</v>
      </c>
      <c r="I18">
        <v>-13.75</v>
      </c>
    </row>
    <row r="19" spans="1:9" x14ac:dyDescent="0.2">
      <c r="A19">
        <v>3980612506</v>
      </c>
      <c r="B19" t="s">
        <v>0</v>
      </c>
      <c r="C19" t="s">
        <v>1</v>
      </c>
      <c r="D19">
        <v>8</v>
      </c>
      <c r="E19">
        <v>2</v>
      </c>
      <c r="F19">
        <v>18</v>
      </c>
      <c r="G19">
        <v>1782996813.84921</v>
      </c>
      <c r="H19">
        <v>-136</v>
      </c>
      <c r="I19">
        <v>-10.5</v>
      </c>
    </row>
    <row r="20" spans="1:9" x14ac:dyDescent="0.2">
      <c r="A20">
        <v>2227650459</v>
      </c>
      <c r="B20" t="s">
        <v>0</v>
      </c>
      <c r="C20" t="s">
        <v>1</v>
      </c>
      <c r="D20">
        <v>200</v>
      </c>
      <c r="E20">
        <v>2</v>
      </c>
      <c r="F20">
        <v>19</v>
      </c>
      <c r="G20">
        <v>1782996833.9593501</v>
      </c>
      <c r="H20">
        <v>-139</v>
      </c>
      <c r="I20">
        <v>-13.5</v>
      </c>
    </row>
    <row r="21" spans="1:9" x14ac:dyDescent="0.2">
      <c r="A21">
        <v>2032573340</v>
      </c>
      <c r="B21" t="s">
        <v>0</v>
      </c>
      <c r="C21" t="s">
        <v>1</v>
      </c>
      <c r="D21">
        <v>200</v>
      </c>
      <c r="E21">
        <v>2</v>
      </c>
      <c r="F21">
        <v>20</v>
      </c>
      <c r="G21">
        <v>1782996854.0672901</v>
      </c>
      <c r="H21">
        <v>-138</v>
      </c>
      <c r="I21">
        <v>-13.25</v>
      </c>
    </row>
    <row r="22" spans="1:9" x14ac:dyDescent="0.2">
      <c r="A22">
        <v>3239471005</v>
      </c>
      <c r="B22" t="s">
        <v>0</v>
      </c>
      <c r="C22" t="s">
        <v>1</v>
      </c>
      <c r="D22">
        <v>200</v>
      </c>
      <c r="E22">
        <v>2</v>
      </c>
      <c r="F22">
        <v>21</v>
      </c>
      <c r="G22">
        <v>1782996874.17206</v>
      </c>
      <c r="H22">
        <v>-140</v>
      </c>
      <c r="I22">
        <v>-14.5</v>
      </c>
    </row>
    <row r="23" spans="1:9" x14ac:dyDescent="0.2">
      <c r="A23">
        <v>3561541534</v>
      </c>
      <c r="B23" t="s">
        <v>0</v>
      </c>
      <c r="C23" t="s">
        <v>1</v>
      </c>
      <c r="D23">
        <v>200</v>
      </c>
      <c r="E23">
        <v>2</v>
      </c>
      <c r="F23">
        <v>22</v>
      </c>
      <c r="G23">
        <v>1782996894.27935</v>
      </c>
      <c r="H23">
        <v>-139</v>
      </c>
      <c r="I23">
        <v>-14</v>
      </c>
    </row>
    <row r="24" spans="1:9" x14ac:dyDescent="0.2">
      <c r="A24">
        <v>4053115807</v>
      </c>
      <c r="B24" t="s">
        <v>0</v>
      </c>
      <c r="C24" t="s">
        <v>1</v>
      </c>
      <c r="D24">
        <v>200</v>
      </c>
      <c r="E24">
        <v>2</v>
      </c>
      <c r="F24">
        <v>23</v>
      </c>
      <c r="G24">
        <v>1782996914.3875799</v>
      </c>
      <c r="H24">
        <v>-138</v>
      </c>
      <c r="I24">
        <v>-13</v>
      </c>
    </row>
    <row r="25" spans="1:9" x14ac:dyDescent="0.2">
      <c r="A25">
        <v>1806398368</v>
      </c>
      <c r="B25" t="s">
        <v>0</v>
      </c>
      <c r="C25" t="s">
        <v>1</v>
      </c>
      <c r="D25">
        <v>200</v>
      </c>
      <c r="E25">
        <v>2</v>
      </c>
      <c r="F25">
        <v>24</v>
      </c>
      <c r="G25">
        <v>1782996934.49664</v>
      </c>
      <c r="H25">
        <v>-140</v>
      </c>
      <c r="I25">
        <v>-14.5</v>
      </c>
    </row>
    <row r="26" spans="1:9" x14ac:dyDescent="0.2">
      <c r="A26">
        <v>45420449</v>
      </c>
      <c r="B26" t="s">
        <v>0</v>
      </c>
      <c r="C26" t="s">
        <v>1</v>
      </c>
      <c r="D26">
        <v>200</v>
      </c>
      <c r="E26">
        <v>2</v>
      </c>
      <c r="F26">
        <v>25</v>
      </c>
      <c r="G26">
        <v>1782996954.6045001</v>
      </c>
      <c r="H26">
        <v>-138</v>
      </c>
      <c r="I26">
        <v>-14</v>
      </c>
    </row>
    <row r="27" spans="1:9" x14ac:dyDescent="0.2">
      <c r="A27">
        <v>952112034</v>
      </c>
      <c r="B27" t="s">
        <v>0</v>
      </c>
      <c r="C27" t="s">
        <v>1</v>
      </c>
      <c r="D27">
        <v>200</v>
      </c>
      <c r="E27">
        <v>2</v>
      </c>
      <c r="F27">
        <v>26</v>
      </c>
      <c r="G27">
        <v>1782996974.7135899</v>
      </c>
      <c r="H27">
        <v>-139</v>
      </c>
      <c r="I27">
        <v>-13.5</v>
      </c>
    </row>
    <row r="28" spans="1:9" x14ac:dyDescent="0.2">
      <c r="A28">
        <v>1867574179</v>
      </c>
      <c r="B28" t="s">
        <v>0</v>
      </c>
      <c r="C28" t="s">
        <v>1</v>
      </c>
      <c r="D28">
        <v>200</v>
      </c>
      <c r="E28">
        <v>2</v>
      </c>
      <c r="F28">
        <v>27</v>
      </c>
      <c r="G28">
        <v>1782996994.82354</v>
      </c>
      <c r="H28">
        <v>-138</v>
      </c>
      <c r="I28">
        <v>-14</v>
      </c>
    </row>
    <row r="29" spans="1:9" x14ac:dyDescent="0.2">
      <c r="A29">
        <v>86179748</v>
      </c>
      <c r="B29" t="s">
        <v>0</v>
      </c>
      <c r="C29" t="s">
        <v>1</v>
      </c>
      <c r="D29">
        <v>200</v>
      </c>
      <c r="E29">
        <v>2</v>
      </c>
      <c r="F29">
        <v>28</v>
      </c>
      <c r="G29">
        <v>1782997014.93121</v>
      </c>
      <c r="H29">
        <v>-139</v>
      </c>
      <c r="I29">
        <v>-14</v>
      </c>
    </row>
    <row r="30" spans="1:9" x14ac:dyDescent="0.2">
      <c r="A30">
        <v>4034034597</v>
      </c>
      <c r="B30" t="s">
        <v>0</v>
      </c>
      <c r="C30" t="s">
        <v>1</v>
      </c>
      <c r="D30">
        <v>200</v>
      </c>
      <c r="E30">
        <v>2</v>
      </c>
      <c r="F30">
        <v>29</v>
      </c>
      <c r="G30">
        <v>1782997035.0392301</v>
      </c>
      <c r="H30">
        <v>-137</v>
      </c>
      <c r="I30">
        <v>-13.25</v>
      </c>
    </row>
    <row r="31" spans="1:9" x14ac:dyDescent="0.2">
      <c r="A31">
        <v>1175062438</v>
      </c>
      <c r="B31" t="s">
        <v>0</v>
      </c>
      <c r="C31" t="s">
        <v>1</v>
      </c>
      <c r="D31">
        <v>200</v>
      </c>
      <c r="E31">
        <v>2</v>
      </c>
      <c r="F31">
        <v>30</v>
      </c>
      <c r="G31">
        <v>1782997055.1463101</v>
      </c>
      <c r="H31">
        <v>-139</v>
      </c>
      <c r="I31">
        <v>-13.5</v>
      </c>
    </row>
    <row r="32" spans="1:9" x14ac:dyDescent="0.2">
      <c r="A32">
        <v>1923546023</v>
      </c>
      <c r="B32" t="s">
        <v>0</v>
      </c>
      <c r="C32" t="s">
        <v>1</v>
      </c>
      <c r="D32">
        <v>200</v>
      </c>
      <c r="E32">
        <v>2</v>
      </c>
      <c r="F32">
        <v>31</v>
      </c>
      <c r="G32">
        <v>1782997075.2550001</v>
      </c>
      <c r="H32">
        <v>-139</v>
      </c>
      <c r="I32">
        <v>-14</v>
      </c>
    </row>
    <row r="33" spans="1:9" x14ac:dyDescent="0.2">
      <c r="A33">
        <v>2821203880</v>
      </c>
      <c r="B33" t="s">
        <v>0</v>
      </c>
      <c r="C33" t="s">
        <v>1</v>
      </c>
      <c r="D33">
        <v>200</v>
      </c>
      <c r="E33">
        <v>2</v>
      </c>
      <c r="F33">
        <v>32</v>
      </c>
      <c r="G33">
        <v>1782997095.3654001</v>
      </c>
      <c r="H33">
        <v>-138</v>
      </c>
      <c r="I33">
        <v>-13.5</v>
      </c>
    </row>
    <row r="34" spans="1:9" x14ac:dyDescent="0.2">
      <c r="A34">
        <v>1029187497</v>
      </c>
      <c r="B34" t="s">
        <v>0</v>
      </c>
      <c r="C34" t="s">
        <v>1</v>
      </c>
      <c r="D34">
        <v>200</v>
      </c>
      <c r="E34">
        <v>2</v>
      </c>
      <c r="F34">
        <v>33</v>
      </c>
      <c r="G34">
        <v>1782997115.47681</v>
      </c>
      <c r="H34">
        <v>-140</v>
      </c>
      <c r="I34">
        <v>-14</v>
      </c>
    </row>
    <row r="35" spans="1:9" x14ac:dyDescent="0.2">
      <c r="A35">
        <v>3427963818</v>
      </c>
      <c r="B35" t="s">
        <v>0</v>
      </c>
      <c r="C35" t="s">
        <v>1</v>
      </c>
      <c r="D35">
        <v>200</v>
      </c>
      <c r="E35">
        <v>2</v>
      </c>
      <c r="F35">
        <v>34</v>
      </c>
      <c r="G35">
        <v>1782997135.58266</v>
      </c>
      <c r="H35">
        <v>-139</v>
      </c>
      <c r="I35">
        <v>-14.5</v>
      </c>
    </row>
    <row r="36" spans="1:9" x14ac:dyDescent="0.2">
      <c r="A36">
        <v>1917959083</v>
      </c>
      <c r="B36" t="s">
        <v>0</v>
      </c>
      <c r="C36" t="s">
        <v>1</v>
      </c>
      <c r="D36">
        <v>204</v>
      </c>
      <c r="E36">
        <v>1</v>
      </c>
      <c r="F36">
        <v>35</v>
      </c>
      <c r="G36">
        <v>1782997155.66925</v>
      </c>
      <c r="H36">
        <v>-145</v>
      </c>
      <c r="I36">
        <v>-20.25</v>
      </c>
    </row>
    <row r="37" spans="1:9" x14ac:dyDescent="0.2">
      <c r="A37">
        <v>771255212</v>
      </c>
      <c r="B37" t="s">
        <v>0</v>
      </c>
      <c r="C37" t="s">
        <v>1</v>
      </c>
      <c r="D37">
        <v>200</v>
      </c>
      <c r="E37">
        <v>2</v>
      </c>
      <c r="F37">
        <v>36</v>
      </c>
      <c r="G37">
        <v>1782997175.7606299</v>
      </c>
      <c r="H37">
        <v>-139</v>
      </c>
      <c r="I37">
        <v>-13.75</v>
      </c>
    </row>
    <row r="38" spans="1:9" x14ac:dyDescent="0.2">
      <c r="A38">
        <v>108507053</v>
      </c>
      <c r="B38" t="s">
        <v>0</v>
      </c>
      <c r="C38" t="s">
        <v>1</v>
      </c>
      <c r="D38">
        <v>200</v>
      </c>
      <c r="E38">
        <v>2</v>
      </c>
      <c r="F38">
        <v>37</v>
      </c>
      <c r="G38">
        <v>1782997195.86305</v>
      </c>
      <c r="H38">
        <v>-138</v>
      </c>
      <c r="I38">
        <v>-13.25</v>
      </c>
    </row>
    <row r="39" spans="1:9" x14ac:dyDescent="0.2">
      <c r="A39">
        <v>327018414</v>
      </c>
      <c r="B39" t="s">
        <v>0</v>
      </c>
      <c r="C39" t="s">
        <v>1</v>
      </c>
      <c r="D39">
        <v>200</v>
      </c>
      <c r="E39">
        <v>2</v>
      </c>
      <c r="F39">
        <v>38</v>
      </c>
      <c r="G39">
        <v>1782997215.9646599</v>
      </c>
      <c r="H39">
        <v>-138</v>
      </c>
      <c r="I39">
        <v>-13.5</v>
      </c>
    </row>
    <row r="40" spans="1:9" x14ac:dyDescent="0.2">
      <c r="A40">
        <v>1856604079</v>
      </c>
      <c r="B40" t="s">
        <v>0</v>
      </c>
      <c r="C40" t="s">
        <v>1</v>
      </c>
      <c r="D40">
        <v>200</v>
      </c>
      <c r="E40">
        <v>2</v>
      </c>
      <c r="F40">
        <v>39</v>
      </c>
      <c r="G40">
        <v>1782997236.0727201</v>
      </c>
      <c r="H40">
        <v>-139</v>
      </c>
      <c r="I40">
        <v>-13.75</v>
      </c>
    </row>
    <row r="41" spans="1:9" x14ac:dyDescent="0.2">
      <c r="A41">
        <v>3726435248</v>
      </c>
      <c r="B41" t="s">
        <v>0</v>
      </c>
      <c r="C41" t="s">
        <v>1</v>
      </c>
      <c r="D41">
        <v>8</v>
      </c>
      <c r="E41">
        <v>2</v>
      </c>
      <c r="F41">
        <v>40</v>
      </c>
      <c r="G41">
        <v>1782997256.17944</v>
      </c>
      <c r="H41">
        <v>-138</v>
      </c>
      <c r="I41">
        <v>-14</v>
      </c>
    </row>
    <row r="42" spans="1:9" x14ac:dyDescent="0.2">
      <c r="A42">
        <v>2148537265</v>
      </c>
      <c r="B42" t="s">
        <v>0</v>
      </c>
      <c r="C42" t="s">
        <v>1</v>
      </c>
      <c r="D42">
        <v>200</v>
      </c>
      <c r="E42">
        <v>2</v>
      </c>
      <c r="F42">
        <v>41</v>
      </c>
      <c r="G42">
        <v>1782997276.2878201</v>
      </c>
      <c r="H42">
        <v>-137</v>
      </c>
      <c r="I42">
        <v>-12.5</v>
      </c>
    </row>
    <row r="43" spans="1:9" x14ac:dyDescent="0.2">
      <c r="A43">
        <v>4070840243</v>
      </c>
      <c r="B43" t="s">
        <v>0</v>
      </c>
      <c r="C43" t="s">
        <v>1</v>
      </c>
      <c r="D43">
        <v>200</v>
      </c>
      <c r="E43">
        <v>2</v>
      </c>
      <c r="F43">
        <v>43</v>
      </c>
      <c r="G43">
        <v>1782997316.5062699</v>
      </c>
      <c r="H43">
        <v>-139</v>
      </c>
      <c r="I43">
        <v>-14.25</v>
      </c>
    </row>
    <row r="44" spans="1:9" x14ac:dyDescent="0.2">
      <c r="A44">
        <v>1500340148</v>
      </c>
      <c r="B44" t="s">
        <v>0</v>
      </c>
      <c r="C44" t="s">
        <v>1</v>
      </c>
      <c r="D44">
        <v>200</v>
      </c>
      <c r="E44">
        <v>2</v>
      </c>
      <c r="F44">
        <v>44</v>
      </c>
      <c r="G44">
        <v>1782997336.6217401</v>
      </c>
      <c r="H44">
        <v>-139</v>
      </c>
      <c r="I44">
        <v>-13.75</v>
      </c>
    </row>
    <row r="45" spans="1:9" x14ac:dyDescent="0.2">
      <c r="A45">
        <v>702004149</v>
      </c>
      <c r="B45" t="s">
        <v>0</v>
      </c>
      <c r="C45" t="s">
        <v>1</v>
      </c>
      <c r="D45">
        <v>200</v>
      </c>
      <c r="E45">
        <v>2</v>
      </c>
      <c r="F45">
        <v>45</v>
      </c>
      <c r="G45">
        <v>1782997356.73665</v>
      </c>
      <c r="H45">
        <v>-138</v>
      </c>
      <c r="I45">
        <v>-13.5</v>
      </c>
    </row>
    <row r="46" spans="1:9" x14ac:dyDescent="0.2">
      <c r="A46">
        <v>3200209846</v>
      </c>
      <c r="B46" t="s">
        <v>0</v>
      </c>
      <c r="C46" t="s">
        <v>1</v>
      </c>
      <c r="D46">
        <v>200</v>
      </c>
      <c r="E46">
        <v>2</v>
      </c>
      <c r="F46">
        <v>46</v>
      </c>
      <c r="G46">
        <v>1782997376.84461</v>
      </c>
      <c r="H46">
        <v>-139</v>
      </c>
      <c r="I46">
        <v>-13.5</v>
      </c>
    </row>
    <row r="47" spans="1:9" x14ac:dyDescent="0.2">
      <c r="A47">
        <v>403640247</v>
      </c>
      <c r="B47" t="s">
        <v>0</v>
      </c>
      <c r="C47" t="s">
        <v>1</v>
      </c>
      <c r="D47">
        <v>200</v>
      </c>
      <c r="E47">
        <v>2</v>
      </c>
      <c r="F47">
        <v>47</v>
      </c>
      <c r="G47">
        <v>1782997396.9514699</v>
      </c>
      <c r="H47">
        <v>-139</v>
      </c>
      <c r="I47">
        <v>-14.25</v>
      </c>
    </row>
    <row r="48" spans="1:9" x14ac:dyDescent="0.2">
      <c r="A48">
        <v>1777741752</v>
      </c>
      <c r="B48" t="s">
        <v>0</v>
      </c>
      <c r="C48" t="s">
        <v>1</v>
      </c>
      <c r="D48">
        <v>200</v>
      </c>
      <c r="E48">
        <v>2</v>
      </c>
      <c r="F48">
        <v>48</v>
      </c>
      <c r="G48">
        <v>1782997417.0611801</v>
      </c>
      <c r="H48">
        <v>-138</v>
      </c>
      <c r="I48">
        <v>-13</v>
      </c>
    </row>
    <row r="49" spans="1:9" x14ac:dyDescent="0.2">
      <c r="A49">
        <v>530656185</v>
      </c>
      <c r="B49" t="s">
        <v>0</v>
      </c>
      <c r="C49" t="s">
        <v>1</v>
      </c>
      <c r="D49">
        <v>204</v>
      </c>
      <c r="E49">
        <v>1</v>
      </c>
      <c r="F49">
        <v>49</v>
      </c>
      <c r="G49">
        <v>1782997437.17222</v>
      </c>
      <c r="H49">
        <v>-147</v>
      </c>
      <c r="I49">
        <v>-20.75</v>
      </c>
    </row>
    <row r="50" spans="1:9" x14ac:dyDescent="0.2">
      <c r="A50">
        <v>1840741306</v>
      </c>
      <c r="B50" t="s">
        <v>0</v>
      </c>
      <c r="C50" t="s">
        <v>1</v>
      </c>
      <c r="D50">
        <v>200</v>
      </c>
      <c r="E50">
        <v>2</v>
      </c>
      <c r="F50">
        <v>50</v>
      </c>
      <c r="G50">
        <v>1782997457.28423</v>
      </c>
      <c r="H50">
        <v>-136</v>
      </c>
      <c r="I50">
        <v>-12.75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1FB6-A03E-984C-9456-EF2BCBD4FD2E}">
  <sheetPr codeName="Sheet4">
    <tabColor rgb="FFFFFF00"/>
  </sheetPr>
  <dimension ref="A2:D102"/>
  <sheetViews>
    <sheetView topLeftCell="A54" workbookViewId="0">
      <selection activeCell="C54" sqref="C1:C1048576"/>
    </sheetView>
  </sheetViews>
  <sheetFormatPr baseColWidth="10" defaultRowHeight="16" x14ac:dyDescent="0.2"/>
  <sheetData>
    <row r="2" spans="1:4" x14ac:dyDescent="0.2">
      <c r="A2">
        <v>3963149602</v>
      </c>
      <c r="B2" s="2" t="s">
        <v>30</v>
      </c>
      <c r="C2">
        <v>-114</v>
      </c>
      <c r="D2">
        <v>6.75</v>
      </c>
    </row>
    <row r="3" spans="1:4" x14ac:dyDescent="0.2">
      <c r="A3">
        <v>2206184761</v>
      </c>
      <c r="B3" s="2" t="s">
        <v>31</v>
      </c>
      <c r="C3">
        <v>-114</v>
      </c>
      <c r="D3">
        <v>7.5</v>
      </c>
    </row>
    <row r="4" spans="1:4" x14ac:dyDescent="0.2">
      <c r="A4">
        <v>3576684836</v>
      </c>
      <c r="B4" s="2" t="s">
        <v>32</v>
      </c>
      <c r="C4">
        <v>-144</v>
      </c>
      <c r="D4">
        <v>-20</v>
      </c>
    </row>
    <row r="5" spans="1:4" x14ac:dyDescent="0.2">
      <c r="A5">
        <v>4164637577</v>
      </c>
      <c r="B5" s="2" t="s">
        <v>33</v>
      </c>
    </row>
    <row r="6" spans="1:4" x14ac:dyDescent="0.2">
      <c r="A6">
        <v>4164637577</v>
      </c>
      <c r="B6" s="2" t="s">
        <v>34</v>
      </c>
      <c r="C6">
        <v>-117</v>
      </c>
      <c r="D6">
        <v>5.75</v>
      </c>
    </row>
    <row r="7" spans="1:4" x14ac:dyDescent="0.2">
      <c r="A7">
        <v>3434371978</v>
      </c>
      <c r="B7" s="2" t="s">
        <v>35</v>
      </c>
    </row>
    <row r="8" spans="1:4" x14ac:dyDescent="0.2">
      <c r="A8">
        <v>3434371978</v>
      </c>
      <c r="B8" s="2" t="s">
        <v>36</v>
      </c>
      <c r="C8">
        <v>-116</v>
      </c>
      <c r="D8">
        <v>5.25</v>
      </c>
    </row>
    <row r="9" spans="1:4" x14ac:dyDescent="0.2">
      <c r="A9">
        <v>2467580811</v>
      </c>
      <c r="B9" s="2" t="s">
        <v>37</v>
      </c>
    </row>
    <row r="10" spans="1:4" x14ac:dyDescent="0.2">
      <c r="A10">
        <v>3878669196</v>
      </c>
      <c r="B10" s="2" t="s">
        <v>38</v>
      </c>
    </row>
    <row r="11" spans="1:4" x14ac:dyDescent="0.2">
      <c r="A11">
        <v>2467580811</v>
      </c>
      <c r="B11" s="2" t="s">
        <v>39</v>
      </c>
      <c r="C11">
        <v>-117</v>
      </c>
      <c r="D11">
        <v>5.25</v>
      </c>
    </row>
    <row r="12" spans="1:4" x14ac:dyDescent="0.2">
      <c r="A12">
        <v>3878669196</v>
      </c>
      <c r="B12" s="2" t="s">
        <v>40</v>
      </c>
      <c r="C12">
        <v>-144</v>
      </c>
      <c r="D12">
        <v>-18.75</v>
      </c>
    </row>
    <row r="13" spans="1:4" x14ac:dyDescent="0.2">
      <c r="A13">
        <v>3682053005</v>
      </c>
      <c r="B13" s="2" t="s">
        <v>41</v>
      </c>
    </row>
    <row r="14" spans="1:4" x14ac:dyDescent="0.2">
      <c r="A14">
        <v>3682053005</v>
      </c>
      <c r="B14" s="2" t="s">
        <v>42</v>
      </c>
      <c r="C14">
        <v>-115</v>
      </c>
      <c r="D14">
        <v>5.25</v>
      </c>
    </row>
    <row r="15" spans="1:4" x14ac:dyDescent="0.2">
      <c r="A15">
        <v>2050350990</v>
      </c>
      <c r="B15" s="2" t="s">
        <v>43</v>
      </c>
    </row>
    <row r="16" spans="1:4" x14ac:dyDescent="0.2">
      <c r="A16">
        <v>2050350990</v>
      </c>
      <c r="B16" s="2" t="s">
        <v>44</v>
      </c>
      <c r="C16">
        <v>-115</v>
      </c>
      <c r="D16">
        <v>5.25</v>
      </c>
    </row>
    <row r="17" spans="1:4" x14ac:dyDescent="0.2">
      <c r="A17">
        <v>2221574031</v>
      </c>
      <c r="B17" s="2" t="s">
        <v>45</v>
      </c>
    </row>
    <row r="18" spans="1:4" x14ac:dyDescent="0.2">
      <c r="A18">
        <v>2221574031</v>
      </c>
      <c r="B18" s="2" t="s">
        <v>46</v>
      </c>
      <c r="C18">
        <v>-114</v>
      </c>
      <c r="D18">
        <v>5.75</v>
      </c>
    </row>
    <row r="19" spans="1:4" x14ac:dyDescent="0.2">
      <c r="A19">
        <v>4009341840</v>
      </c>
      <c r="B19" s="2" t="s">
        <v>47</v>
      </c>
    </row>
    <row r="20" spans="1:4" x14ac:dyDescent="0.2">
      <c r="A20">
        <v>4009341840</v>
      </c>
      <c r="B20" s="2" t="s">
        <v>48</v>
      </c>
      <c r="C20">
        <v>-116</v>
      </c>
      <c r="D20">
        <v>5.5</v>
      </c>
    </row>
    <row r="21" spans="1:4" x14ac:dyDescent="0.2">
      <c r="A21">
        <v>300799889</v>
      </c>
      <c r="B21" s="2" t="s">
        <v>49</v>
      </c>
    </row>
    <row r="22" spans="1:4" x14ac:dyDescent="0.2">
      <c r="A22">
        <v>300799889</v>
      </c>
      <c r="B22" s="2" t="s">
        <v>50</v>
      </c>
      <c r="C22">
        <v>-117</v>
      </c>
      <c r="D22">
        <v>5.5</v>
      </c>
    </row>
    <row r="23" spans="1:4" x14ac:dyDescent="0.2">
      <c r="A23">
        <v>744574866</v>
      </c>
      <c r="B23">
        <v>1782996656.25735</v>
      </c>
    </row>
    <row r="24" spans="1:4" x14ac:dyDescent="0.2">
      <c r="A24">
        <v>744574866</v>
      </c>
      <c r="B24" s="2" t="s">
        <v>51</v>
      </c>
      <c r="C24">
        <v>-116</v>
      </c>
      <c r="D24">
        <v>5</v>
      </c>
    </row>
    <row r="25" spans="1:4" x14ac:dyDescent="0.2">
      <c r="A25">
        <v>487651219</v>
      </c>
      <c r="B25" s="2" t="s">
        <v>52</v>
      </c>
    </row>
    <row r="26" spans="1:4" x14ac:dyDescent="0.2">
      <c r="A26">
        <v>487651219</v>
      </c>
      <c r="B26" s="2" t="s">
        <v>53</v>
      </c>
      <c r="C26">
        <v>-115</v>
      </c>
      <c r="D26">
        <v>5.75</v>
      </c>
    </row>
    <row r="27" spans="1:4" x14ac:dyDescent="0.2">
      <c r="A27">
        <v>4234804116</v>
      </c>
      <c r="B27" s="2" t="s">
        <v>54</v>
      </c>
    </row>
    <row r="28" spans="1:4" x14ac:dyDescent="0.2">
      <c r="A28">
        <v>4234804116</v>
      </c>
      <c r="B28" s="2" t="s">
        <v>55</v>
      </c>
      <c r="C28">
        <v>-115</v>
      </c>
      <c r="D28">
        <v>5.25</v>
      </c>
    </row>
    <row r="29" spans="1:4" x14ac:dyDescent="0.2">
      <c r="A29">
        <v>2144911253</v>
      </c>
      <c r="B29" s="2" t="s">
        <v>56</v>
      </c>
    </row>
    <row r="30" spans="1:4" x14ac:dyDescent="0.2">
      <c r="A30">
        <v>2144911253</v>
      </c>
      <c r="B30" s="2" t="s">
        <v>57</v>
      </c>
      <c r="C30">
        <v>-116</v>
      </c>
      <c r="D30">
        <v>5.75</v>
      </c>
    </row>
    <row r="31" spans="1:4" x14ac:dyDescent="0.2">
      <c r="A31">
        <v>1451287446</v>
      </c>
      <c r="B31" s="2" t="s">
        <v>58</v>
      </c>
    </row>
    <row r="32" spans="1:4" x14ac:dyDescent="0.2">
      <c r="A32">
        <v>1451287446</v>
      </c>
      <c r="B32" s="2" t="s">
        <v>59</v>
      </c>
      <c r="C32">
        <v>-115</v>
      </c>
      <c r="D32">
        <v>4.5</v>
      </c>
    </row>
    <row r="33" spans="1:4" x14ac:dyDescent="0.2">
      <c r="A33">
        <v>3265542039</v>
      </c>
      <c r="B33" s="2" t="s">
        <v>60</v>
      </c>
    </row>
    <row r="34" spans="1:4" x14ac:dyDescent="0.2">
      <c r="A34">
        <v>3265542039</v>
      </c>
      <c r="B34" s="2" t="s">
        <v>61</v>
      </c>
      <c r="C34">
        <v>-114</v>
      </c>
      <c r="D34">
        <v>6.25</v>
      </c>
    </row>
    <row r="35" spans="1:4" x14ac:dyDescent="0.2">
      <c r="A35">
        <v>2312718232</v>
      </c>
      <c r="B35" s="2" t="s">
        <v>62</v>
      </c>
    </row>
    <row r="36" spans="1:4" x14ac:dyDescent="0.2">
      <c r="A36">
        <v>2312718232</v>
      </c>
      <c r="B36" s="2" t="s">
        <v>63</v>
      </c>
      <c r="C36">
        <v>-115</v>
      </c>
      <c r="D36">
        <v>4.75</v>
      </c>
    </row>
    <row r="37" spans="1:4" x14ac:dyDescent="0.2">
      <c r="A37">
        <v>2607583129</v>
      </c>
      <c r="B37" s="2" t="s">
        <v>64</v>
      </c>
    </row>
    <row r="38" spans="1:4" x14ac:dyDescent="0.2">
      <c r="A38">
        <v>2607583129</v>
      </c>
      <c r="B38" s="2" t="s">
        <v>65</v>
      </c>
      <c r="C38">
        <v>-116</v>
      </c>
      <c r="D38">
        <v>5</v>
      </c>
    </row>
    <row r="39" spans="1:4" x14ac:dyDescent="0.2">
      <c r="A39">
        <v>3980612506</v>
      </c>
      <c r="B39" s="2" t="s">
        <v>66</v>
      </c>
    </row>
    <row r="40" spans="1:4" x14ac:dyDescent="0.2">
      <c r="A40">
        <v>2227650459</v>
      </c>
      <c r="B40" s="2" t="s">
        <v>67</v>
      </c>
    </row>
    <row r="41" spans="1:4" x14ac:dyDescent="0.2">
      <c r="A41">
        <v>2227650459</v>
      </c>
      <c r="B41" s="2" t="s">
        <v>68</v>
      </c>
      <c r="C41">
        <v>-144</v>
      </c>
      <c r="D41">
        <v>-19.25</v>
      </c>
    </row>
    <row r="42" spans="1:4" x14ac:dyDescent="0.2">
      <c r="A42">
        <v>2032573340</v>
      </c>
      <c r="B42" s="2" t="s">
        <v>69</v>
      </c>
    </row>
    <row r="43" spans="1:4" x14ac:dyDescent="0.2">
      <c r="A43">
        <v>2032573340</v>
      </c>
      <c r="B43" s="2" t="s">
        <v>70</v>
      </c>
      <c r="C43">
        <v>-116</v>
      </c>
      <c r="D43">
        <v>4.75</v>
      </c>
    </row>
    <row r="44" spans="1:4" x14ac:dyDescent="0.2">
      <c r="A44">
        <v>3239471005</v>
      </c>
      <c r="B44" s="2" t="s">
        <v>71</v>
      </c>
    </row>
    <row r="45" spans="1:4" x14ac:dyDescent="0.2">
      <c r="A45">
        <v>3239471005</v>
      </c>
      <c r="B45" s="2" t="s">
        <v>72</v>
      </c>
      <c r="C45">
        <v>-143</v>
      </c>
      <c r="D45">
        <v>-19.25</v>
      </c>
    </row>
    <row r="46" spans="1:4" x14ac:dyDescent="0.2">
      <c r="A46">
        <v>3561541534</v>
      </c>
      <c r="B46" s="2" t="s">
        <v>73</v>
      </c>
    </row>
    <row r="47" spans="1:4" x14ac:dyDescent="0.2">
      <c r="A47">
        <v>3561541534</v>
      </c>
      <c r="B47" s="2" t="s">
        <v>74</v>
      </c>
      <c r="C47">
        <v>-116</v>
      </c>
      <c r="D47">
        <v>5.25</v>
      </c>
    </row>
    <row r="48" spans="1:4" x14ac:dyDescent="0.2">
      <c r="A48">
        <v>4053115807</v>
      </c>
      <c r="B48" s="2" t="s">
        <v>75</v>
      </c>
    </row>
    <row r="49" spans="1:4" x14ac:dyDescent="0.2">
      <c r="A49">
        <v>4053115807</v>
      </c>
      <c r="B49" s="2" t="s">
        <v>76</v>
      </c>
      <c r="C49">
        <v>-117</v>
      </c>
      <c r="D49">
        <v>5.5</v>
      </c>
    </row>
    <row r="50" spans="1:4" x14ac:dyDescent="0.2">
      <c r="A50">
        <v>1806398368</v>
      </c>
      <c r="B50" s="2" t="s">
        <v>77</v>
      </c>
    </row>
    <row r="51" spans="1:4" x14ac:dyDescent="0.2">
      <c r="A51">
        <v>1806398368</v>
      </c>
      <c r="B51">
        <v>1782996943.7944801</v>
      </c>
      <c r="C51">
        <v>-116</v>
      </c>
      <c r="D51">
        <v>5.25</v>
      </c>
    </row>
    <row r="52" spans="1:4" x14ac:dyDescent="0.2">
      <c r="A52">
        <v>45420449</v>
      </c>
      <c r="B52" s="2" t="s">
        <v>78</v>
      </c>
    </row>
    <row r="53" spans="1:4" x14ac:dyDescent="0.2">
      <c r="A53">
        <v>45420449</v>
      </c>
      <c r="B53" s="2" t="s">
        <v>79</v>
      </c>
      <c r="C53">
        <v>-144</v>
      </c>
      <c r="D53">
        <v>-20.25</v>
      </c>
    </row>
    <row r="54" spans="1:4" x14ac:dyDescent="0.2">
      <c r="A54">
        <v>952112034</v>
      </c>
      <c r="B54" s="2" t="s">
        <v>80</v>
      </c>
    </row>
    <row r="55" spans="1:4" x14ac:dyDescent="0.2">
      <c r="A55">
        <v>952112034</v>
      </c>
      <c r="B55" s="2" t="s">
        <v>81</v>
      </c>
      <c r="C55">
        <v>-116</v>
      </c>
      <c r="D55">
        <v>4.5</v>
      </c>
    </row>
    <row r="56" spans="1:4" x14ac:dyDescent="0.2">
      <c r="A56">
        <v>1867574179</v>
      </c>
      <c r="B56" s="2" t="s">
        <v>82</v>
      </c>
    </row>
    <row r="57" spans="1:4" x14ac:dyDescent="0.2">
      <c r="A57">
        <v>1867574179</v>
      </c>
      <c r="B57" s="2" t="s">
        <v>83</v>
      </c>
      <c r="C57">
        <v>-118</v>
      </c>
      <c r="D57">
        <v>1.75</v>
      </c>
    </row>
    <row r="58" spans="1:4" x14ac:dyDescent="0.2">
      <c r="A58">
        <v>86179748</v>
      </c>
      <c r="B58" s="2" t="s">
        <v>84</v>
      </c>
    </row>
    <row r="59" spans="1:4" x14ac:dyDescent="0.2">
      <c r="A59">
        <v>86179748</v>
      </c>
      <c r="B59" s="2" t="s">
        <v>85</v>
      </c>
      <c r="C59">
        <v>-115</v>
      </c>
      <c r="D59">
        <v>6</v>
      </c>
    </row>
    <row r="60" spans="1:4" x14ac:dyDescent="0.2">
      <c r="A60">
        <v>4034034597</v>
      </c>
      <c r="B60" s="2" t="s">
        <v>86</v>
      </c>
    </row>
    <row r="61" spans="1:4" x14ac:dyDescent="0.2">
      <c r="A61">
        <v>4034034597</v>
      </c>
      <c r="B61" s="2" t="s">
        <v>87</v>
      </c>
      <c r="C61">
        <v>-145</v>
      </c>
      <c r="D61">
        <v>-20.5</v>
      </c>
    </row>
    <row r="62" spans="1:4" x14ac:dyDescent="0.2">
      <c r="A62">
        <v>1175062438</v>
      </c>
      <c r="B62" s="2" t="s">
        <v>88</v>
      </c>
    </row>
    <row r="63" spans="1:4" x14ac:dyDescent="0.2">
      <c r="A63">
        <v>1175062438</v>
      </c>
      <c r="B63">
        <v>1782997063.79564</v>
      </c>
      <c r="C63">
        <v>-116</v>
      </c>
      <c r="D63">
        <v>5.5</v>
      </c>
    </row>
    <row r="64" spans="1:4" x14ac:dyDescent="0.2">
      <c r="A64">
        <v>1923546023</v>
      </c>
      <c r="B64" s="2" t="s">
        <v>89</v>
      </c>
    </row>
    <row r="65" spans="1:4" x14ac:dyDescent="0.2">
      <c r="A65">
        <v>1923546023</v>
      </c>
      <c r="B65" s="2" t="s">
        <v>90</v>
      </c>
      <c r="C65">
        <v>-115</v>
      </c>
      <c r="D65">
        <v>6.75</v>
      </c>
    </row>
    <row r="66" spans="1:4" x14ac:dyDescent="0.2">
      <c r="A66">
        <v>2821203880</v>
      </c>
      <c r="B66" s="2" t="s">
        <v>91</v>
      </c>
    </row>
    <row r="67" spans="1:4" x14ac:dyDescent="0.2">
      <c r="A67">
        <v>2821203880</v>
      </c>
      <c r="B67" s="2" t="s">
        <v>92</v>
      </c>
      <c r="C67">
        <v>-142</v>
      </c>
      <c r="D67">
        <v>-19.25</v>
      </c>
    </row>
    <row r="68" spans="1:4" x14ac:dyDescent="0.2">
      <c r="A68">
        <v>1029187497</v>
      </c>
      <c r="B68" s="2" t="s">
        <v>93</v>
      </c>
    </row>
    <row r="69" spans="1:4" x14ac:dyDescent="0.2">
      <c r="A69">
        <v>1029187497</v>
      </c>
      <c r="B69" s="2" t="s">
        <v>94</v>
      </c>
      <c r="C69">
        <v>-116</v>
      </c>
      <c r="D69">
        <v>5.75</v>
      </c>
    </row>
    <row r="70" spans="1:4" x14ac:dyDescent="0.2">
      <c r="A70">
        <v>3427963818</v>
      </c>
      <c r="B70" s="2" t="s">
        <v>95</v>
      </c>
    </row>
    <row r="71" spans="1:4" x14ac:dyDescent="0.2">
      <c r="A71">
        <v>3427963818</v>
      </c>
      <c r="B71" s="2" t="s">
        <v>96</v>
      </c>
      <c r="C71">
        <v>-114</v>
      </c>
      <c r="D71">
        <v>6</v>
      </c>
    </row>
    <row r="72" spans="1:4" x14ac:dyDescent="0.2">
      <c r="A72">
        <v>1917959083</v>
      </c>
      <c r="B72" s="2" t="s">
        <v>97</v>
      </c>
    </row>
    <row r="73" spans="1:4" x14ac:dyDescent="0.2">
      <c r="A73">
        <v>1917959083</v>
      </c>
      <c r="B73" s="2" t="s">
        <v>98</v>
      </c>
      <c r="C73">
        <v>-115</v>
      </c>
      <c r="D73">
        <v>5.75</v>
      </c>
    </row>
    <row r="74" spans="1:4" x14ac:dyDescent="0.2">
      <c r="A74">
        <v>771255212</v>
      </c>
      <c r="B74" s="2" t="s">
        <v>99</v>
      </c>
    </row>
    <row r="75" spans="1:4" x14ac:dyDescent="0.2">
      <c r="A75">
        <v>771255212</v>
      </c>
      <c r="B75" s="2" t="s">
        <v>100</v>
      </c>
      <c r="C75">
        <v>-143</v>
      </c>
      <c r="D75">
        <v>-19.75</v>
      </c>
    </row>
    <row r="76" spans="1:4" x14ac:dyDescent="0.2">
      <c r="A76">
        <v>108507053</v>
      </c>
      <c r="B76" s="2" t="s">
        <v>101</v>
      </c>
    </row>
    <row r="77" spans="1:4" x14ac:dyDescent="0.2">
      <c r="A77">
        <v>108507053</v>
      </c>
      <c r="B77" s="2" t="s">
        <v>102</v>
      </c>
      <c r="C77">
        <v>-115</v>
      </c>
      <c r="D77">
        <v>6</v>
      </c>
    </row>
    <row r="78" spans="1:4" x14ac:dyDescent="0.2">
      <c r="A78">
        <v>327018414</v>
      </c>
      <c r="B78" s="2" t="s">
        <v>103</v>
      </c>
    </row>
    <row r="79" spans="1:4" x14ac:dyDescent="0.2">
      <c r="A79">
        <v>327018414</v>
      </c>
      <c r="B79" s="2" t="s">
        <v>104</v>
      </c>
      <c r="C79">
        <v>-114</v>
      </c>
      <c r="D79">
        <v>6</v>
      </c>
    </row>
    <row r="80" spans="1:4" x14ac:dyDescent="0.2">
      <c r="A80">
        <v>1856604079</v>
      </c>
      <c r="B80" s="2" t="s">
        <v>105</v>
      </c>
    </row>
    <row r="81" spans="1:4" x14ac:dyDescent="0.2">
      <c r="A81">
        <v>1856604079</v>
      </c>
      <c r="B81" s="2" t="s">
        <v>106</v>
      </c>
      <c r="C81">
        <v>-116</v>
      </c>
      <c r="D81">
        <v>6.25</v>
      </c>
    </row>
    <row r="82" spans="1:4" x14ac:dyDescent="0.2">
      <c r="A82">
        <v>3726435248</v>
      </c>
      <c r="B82" s="2" t="s">
        <v>107</v>
      </c>
    </row>
    <row r="83" spans="1:4" x14ac:dyDescent="0.2">
      <c r="A83">
        <v>3726435248</v>
      </c>
      <c r="B83" s="2" t="s">
        <v>108</v>
      </c>
      <c r="C83">
        <v>-116</v>
      </c>
      <c r="D83">
        <v>5</v>
      </c>
    </row>
    <row r="84" spans="1:4" x14ac:dyDescent="0.2">
      <c r="A84">
        <v>2148537265</v>
      </c>
      <c r="B84" s="2" t="s">
        <v>109</v>
      </c>
    </row>
    <row r="85" spans="1:4" x14ac:dyDescent="0.2">
      <c r="A85">
        <v>2148537265</v>
      </c>
      <c r="B85" s="2" t="s">
        <v>110</v>
      </c>
      <c r="C85">
        <v>-117</v>
      </c>
      <c r="D85">
        <v>5.5</v>
      </c>
    </row>
    <row r="86" spans="1:4" x14ac:dyDescent="0.2">
      <c r="A86">
        <v>3614373810</v>
      </c>
      <c r="B86" s="2" t="s">
        <v>111</v>
      </c>
    </row>
    <row r="87" spans="1:4" x14ac:dyDescent="0.2">
      <c r="A87">
        <v>4070840243</v>
      </c>
      <c r="B87" s="2" t="s">
        <v>112</v>
      </c>
    </row>
    <row r="88" spans="1:4" x14ac:dyDescent="0.2">
      <c r="A88">
        <v>4070840243</v>
      </c>
      <c r="B88" s="2" t="s">
        <v>113</v>
      </c>
      <c r="C88">
        <v>-119</v>
      </c>
      <c r="D88">
        <v>5.5</v>
      </c>
    </row>
    <row r="89" spans="1:4" x14ac:dyDescent="0.2">
      <c r="A89">
        <v>1500340148</v>
      </c>
      <c r="B89" s="2" t="s">
        <v>114</v>
      </c>
    </row>
    <row r="90" spans="1:4" x14ac:dyDescent="0.2">
      <c r="A90">
        <v>1500340148</v>
      </c>
      <c r="B90" s="2" t="s">
        <v>115</v>
      </c>
      <c r="C90">
        <v>-119</v>
      </c>
      <c r="D90">
        <v>4</v>
      </c>
    </row>
    <row r="91" spans="1:4" x14ac:dyDescent="0.2">
      <c r="A91">
        <v>702004149</v>
      </c>
      <c r="B91" s="2" t="s">
        <v>116</v>
      </c>
    </row>
    <row r="92" spans="1:4" x14ac:dyDescent="0.2">
      <c r="A92">
        <v>702004149</v>
      </c>
      <c r="B92" s="2" t="s">
        <v>117</v>
      </c>
      <c r="C92">
        <v>-115</v>
      </c>
      <c r="D92">
        <v>3.5</v>
      </c>
    </row>
    <row r="93" spans="1:4" x14ac:dyDescent="0.2">
      <c r="A93">
        <v>3200209846</v>
      </c>
      <c r="B93" s="2" t="s">
        <v>118</v>
      </c>
    </row>
    <row r="94" spans="1:4" x14ac:dyDescent="0.2">
      <c r="A94">
        <v>3200209846</v>
      </c>
      <c r="B94">
        <v>1782997384.27404</v>
      </c>
      <c r="C94">
        <v>-144</v>
      </c>
      <c r="D94">
        <v>-19.5</v>
      </c>
    </row>
    <row r="95" spans="1:4" x14ac:dyDescent="0.2">
      <c r="A95">
        <v>403640247</v>
      </c>
      <c r="B95" s="2" t="s">
        <v>119</v>
      </c>
    </row>
    <row r="96" spans="1:4" x14ac:dyDescent="0.2">
      <c r="A96">
        <v>403640247</v>
      </c>
      <c r="B96" s="2" t="s">
        <v>120</v>
      </c>
      <c r="C96">
        <v>-119</v>
      </c>
      <c r="D96">
        <v>4.25</v>
      </c>
    </row>
    <row r="97" spans="1:4" x14ac:dyDescent="0.2">
      <c r="A97">
        <v>1777741752</v>
      </c>
      <c r="B97" s="2" t="s">
        <v>121</v>
      </c>
    </row>
    <row r="98" spans="1:4" x14ac:dyDescent="0.2">
      <c r="A98">
        <v>1777741752</v>
      </c>
      <c r="B98" s="2" t="s">
        <v>122</v>
      </c>
      <c r="C98">
        <v>-118</v>
      </c>
      <c r="D98">
        <v>4.75</v>
      </c>
    </row>
    <row r="99" spans="1:4" x14ac:dyDescent="0.2">
      <c r="A99">
        <v>530656185</v>
      </c>
      <c r="B99" s="2" t="s">
        <v>123</v>
      </c>
    </row>
    <row r="100" spans="1:4" x14ac:dyDescent="0.2">
      <c r="A100">
        <v>530656185</v>
      </c>
      <c r="B100" s="2" t="s">
        <v>124</v>
      </c>
      <c r="C100">
        <v>-118</v>
      </c>
      <c r="D100">
        <v>4.25</v>
      </c>
    </row>
    <row r="101" spans="1:4" x14ac:dyDescent="0.2">
      <c r="A101">
        <v>1840741306</v>
      </c>
      <c r="B101" s="2" t="s">
        <v>125</v>
      </c>
    </row>
    <row r="102" spans="1:4" x14ac:dyDescent="0.2">
      <c r="A102">
        <v>1840741306</v>
      </c>
      <c r="B102" s="2" t="s">
        <v>126</v>
      </c>
      <c r="C102">
        <v>-143</v>
      </c>
      <c r="D102">
        <v>-18.5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BCD-FD1D-CF48-AD73-3EFF1A32D691}">
  <sheetPr codeName="Sheet5">
    <tabColor rgb="FFFFFF00"/>
  </sheetPr>
  <dimension ref="A1:I51"/>
  <sheetViews>
    <sheetView topLeftCell="A27" workbookViewId="0">
      <selection sqref="A1:XFD1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</row>
    <row r="2" spans="1:9" x14ac:dyDescent="0.2">
      <c r="A2">
        <v>2068239737</v>
      </c>
      <c r="B2" t="s">
        <v>0</v>
      </c>
      <c r="C2" t="s">
        <v>1</v>
      </c>
      <c r="D2">
        <v>200</v>
      </c>
      <c r="E2">
        <v>2</v>
      </c>
      <c r="F2">
        <v>1</v>
      </c>
      <c r="G2">
        <v>1782998683.6073301</v>
      </c>
      <c r="H2">
        <v>-140</v>
      </c>
      <c r="I2">
        <v>-14.5</v>
      </c>
    </row>
    <row r="3" spans="1:9" x14ac:dyDescent="0.2">
      <c r="A3">
        <v>3977495930</v>
      </c>
      <c r="B3" t="s">
        <v>0</v>
      </c>
      <c r="C3" t="s">
        <v>1</v>
      </c>
      <c r="D3">
        <v>200</v>
      </c>
      <c r="E3">
        <v>2</v>
      </c>
      <c r="F3">
        <v>2</v>
      </c>
      <c r="G3">
        <v>1782998723.7212999</v>
      </c>
      <c r="H3">
        <v>-140</v>
      </c>
      <c r="I3">
        <v>-13.5</v>
      </c>
    </row>
    <row r="4" spans="1:9" x14ac:dyDescent="0.2">
      <c r="A4">
        <v>2700889467</v>
      </c>
      <c r="B4" t="s">
        <v>0</v>
      </c>
      <c r="C4" t="s">
        <v>1</v>
      </c>
      <c r="D4">
        <v>200</v>
      </c>
      <c r="E4">
        <v>2</v>
      </c>
      <c r="F4">
        <v>3</v>
      </c>
      <c r="G4">
        <v>1782998763.84285</v>
      </c>
      <c r="H4">
        <v>-138</v>
      </c>
      <c r="I4">
        <v>-13.75</v>
      </c>
    </row>
    <row r="5" spans="1:9" x14ac:dyDescent="0.2">
      <c r="A5">
        <v>3513514364</v>
      </c>
      <c r="B5" t="s">
        <v>0</v>
      </c>
      <c r="C5" t="s">
        <v>1</v>
      </c>
      <c r="D5">
        <v>200</v>
      </c>
      <c r="E5">
        <v>2</v>
      </c>
      <c r="F5">
        <v>4</v>
      </c>
      <c r="G5">
        <v>1782998803.9586999</v>
      </c>
      <c r="H5">
        <v>-139</v>
      </c>
      <c r="I5">
        <v>-14.5</v>
      </c>
    </row>
    <row r="6" spans="1:9" x14ac:dyDescent="0.2">
      <c r="A6">
        <v>2023546237</v>
      </c>
      <c r="B6" t="s">
        <v>0</v>
      </c>
      <c r="C6" t="s">
        <v>1</v>
      </c>
      <c r="D6">
        <v>200</v>
      </c>
      <c r="E6">
        <v>2</v>
      </c>
      <c r="F6">
        <v>5</v>
      </c>
      <c r="G6">
        <v>1782998844.0750899</v>
      </c>
      <c r="H6">
        <v>-138</v>
      </c>
      <c r="I6">
        <v>-13.25</v>
      </c>
    </row>
    <row r="7" spans="1:9" x14ac:dyDescent="0.2">
      <c r="A7">
        <v>3117243774</v>
      </c>
      <c r="B7" t="s">
        <v>0</v>
      </c>
      <c r="C7" t="s">
        <v>1</v>
      </c>
      <c r="D7">
        <v>200</v>
      </c>
      <c r="E7">
        <v>2</v>
      </c>
      <c r="F7">
        <v>6</v>
      </c>
      <c r="G7">
        <v>1782998884.1890199</v>
      </c>
      <c r="H7">
        <v>-140</v>
      </c>
      <c r="I7">
        <v>-14.5</v>
      </c>
    </row>
    <row r="8" spans="1:9" x14ac:dyDescent="0.2">
      <c r="A8">
        <v>1509996927</v>
      </c>
      <c r="B8" t="s">
        <v>0</v>
      </c>
      <c r="C8" t="s">
        <v>1</v>
      </c>
      <c r="D8">
        <v>200</v>
      </c>
      <c r="E8">
        <v>2</v>
      </c>
      <c r="F8">
        <v>7</v>
      </c>
      <c r="G8">
        <v>1782998924.3092699</v>
      </c>
      <c r="H8">
        <v>-140</v>
      </c>
      <c r="I8">
        <v>-14.5</v>
      </c>
    </row>
    <row r="9" spans="1:9" x14ac:dyDescent="0.2">
      <c r="A9">
        <v>2272942464</v>
      </c>
      <c r="B9" t="s">
        <v>0</v>
      </c>
      <c r="C9" t="s">
        <v>1</v>
      </c>
      <c r="D9">
        <v>200</v>
      </c>
      <c r="E9">
        <v>2</v>
      </c>
      <c r="F9">
        <v>8</v>
      </c>
      <c r="G9">
        <v>1782998964.4273</v>
      </c>
      <c r="H9">
        <v>-140</v>
      </c>
      <c r="I9">
        <v>-14.5</v>
      </c>
    </row>
    <row r="10" spans="1:9" x14ac:dyDescent="0.2">
      <c r="A10">
        <v>2500461953</v>
      </c>
      <c r="B10" t="s">
        <v>0</v>
      </c>
      <c r="C10" t="s">
        <v>1</v>
      </c>
      <c r="D10">
        <v>200</v>
      </c>
      <c r="E10">
        <v>2</v>
      </c>
      <c r="F10">
        <v>9</v>
      </c>
      <c r="G10">
        <v>1782999004.53669</v>
      </c>
      <c r="H10">
        <v>-139</v>
      </c>
      <c r="I10">
        <v>-13.75</v>
      </c>
    </row>
    <row r="11" spans="1:9" x14ac:dyDescent="0.2">
      <c r="A11">
        <v>432717186</v>
      </c>
      <c r="B11" t="s">
        <v>0</v>
      </c>
      <c r="C11" t="s">
        <v>1</v>
      </c>
      <c r="D11">
        <v>200</v>
      </c>
      <c r="E11">
        <v>2</v>
      </c>
      <c r="F11">
        <v>10</v>
      </c>
      <c r="G11">
        <v>1782999044.65785</v>
      </c>
      <c r="H11">
        <v>-138</v>
      </c>
      <c r="I11">
        <v>-13</v>
      </c>
    </row>
    <row r="12" spans="1:9" x14ac:dyDescent="0.2">
      <c r="A12">
        <v>1073852803</v>
      </c>
      <c r="B12" t="s">
        <v>0</v>
      </c>
      <c r="C12" t="s">
        <v>1</v>
      </c>
      <c r="D12">
        <v>200</v>
      </c>
      <c r="E12">
        <v>2</v>
      </c>
      <c r="F12">
        <v>11</v>
      </c>
      <c r="G12">
        <v>1782999084.7658401</v>
      </c>
      <c r="H12">
        <v>-139</v>
      </c>
      <c r="I12">
        <v>-15</v>
      </c>
    </row>
    <row r="13" spans="1:9" x14ac:dyDescent="0.2">
      <c r="A13">
        <v>155224452</v>
      </c>
      <c r="B13" t="s">
        <v>0</v>
      </c>
      <c r="C13" t="s">
        <v>1</v>
      </c>
      <c r="D13">
        <v>200</v>
      </c>
      <c r="E13">
        <v>2</v>
      </c>
      <c r="F13">
        <v>12</v>
      </c>
      <c r="G13">
        <v>1782999124.88849</v>
      </c>
      <c r="H13">
        <v>-138</v>
      </c>
      <c r="I13">
        <v>-14</v>
      </c>
    </row>
    <row r="14" spans="1:9" x14ac:dyDescent="0.2">
      <c r="A14">
        <v>2023571845</v>
      </c>
      <c r="B14" t="s">
        <v>0</v>
      </c>
      <c r="C14" t="s">
        <v>1</v>
      </c>
      <c r="D14">
        <v>200</v>
      </c>
      <c r="E14">
        <v>2</v>
      </c>
      <c r="F14">
        <v>13</v>
      </c>
      <c r="G14">
        <v>1782999164.9986601</v>
      </c>
      <c r="H14">
        <v>-140</v>
      </c>
      <c r="I14">
        <v>-14.5</v>
      </c>
    </row>
    <row r="15" spans="1:9" x14ac:dyDescent="0.2">
      <c r="A15">
        <v>25504134</v>
      </c>
      <c r="B15" t="s">
        <v>0</v>
      </c>
      <c r="C15" t="s">
        <v>1</v>
      </c>
      <c r="D15">
        <v>200</v>
      </c>
      <c r="E15">
        <v>2</v>
      </c>
      <c r="F15">
        <v>14</v>
      </c>
      <c r="G15">
        <v>1782999205.1187699</v>
      </c>
      <c r="H15">
        <v>-139</v>
      </c>
      <c r="I15">
        <v>-14</v>
      </c>
    </row>
    <row r="16" spans="1:9" x14ac:dyDescent="0.2">
      <c r="A16">
        <v>414709127</v>
      </c>
      <c r="B16" t="s">
        <v>0</v>
      </c>
      <c r="C16" t="s">
        <v>1</v>
      </c>
      <c r="D16">
        <v>200</v>
      </c>
      <c r="E16">
        <v>2</v>
      </c>
      <c r="F16">
        <v>15</v>
      </c>
      <c r="G16">
        <v>1782999245.2351699</v>
      </c>
      <c r="H16">
        <v>-137</v>
      </c>
      <c r="I16">
        <v>-13.25</v>
      </c>
    </row>
    <row r="17" spans="1:9" x14ac:dyDescent="0.2">
      <c r="A17">
        <v>2233118088</v>
      </c>
      <c r="B17" t="s">
        <v>0</v>
      </c>
      <c r="C17" t="s">
        <v>1</v>
      </c>
      <c r="D17">
        <v>200</v>
      </c>
      <c r="E17">
        <v>2</v>
      </c>
      <c r="F17">
        <v>16</v>
      </c>
      <c r="G17">
        <v>1782999285.3562</v>
      </c>
      <c r="H17">
        <v>-140</v>
      </c>
      <c r="I17">
        <v>-14.5</v>
      </c>
    </row>
    <row r="18" spans="1:9" x14ac:dyDescent="0.2">
      <c r="A18">
        <v>3737309577</v>
      </c>
      <c r="B18" t="s">
        <v>0</v>
      </c>
      <c r="C18" t="s">
        <v>1</v>
      </c>
      <c r="D18">
        <v>200</v>
      </c>
      <c r="E18">
        <v>2</v>
      </c>
      <c r="F18">
        <v>17</v>
      </c>
      <c r="G18">
        <v>1782999325.4632001</v>
      </c>
      <c r="H18">
        <v>-140</v>
      </c>
      <c r="I18">
        <v>-14.5</v>
      </c>
    </row>
    <row r="19" spans="1:9" x14ac:dyDescent="0.2">
      <c r="A19">
        <v>2263938442</v>
      </c>
      <c r="B19" t="s">
        <v>0</v>
      </c>
      <c r="C19" t="s">
        <v>1</v>
      </c>
      <c r="D19">
        <v>200</v>
      </c>
      <c r="E19">
        <v>2</v>
      </c>
      <c r="F19">
        <v>18</v>
      </c>
      <c r="G19">
        <v>1782999365.58235</v>
      </c>
      <c r="H19">
        <v>-138</v>
      </c>
      <c r="I19">
        <v>-14</v>
      </c>
    </row>
    <row r="20" spans="1:9" x14ac:dyDescent="0.2">
      <c r="A20">
        <v>3103342987</v>
      </c>
      <c r="B20" t="s">
        <v>0</v>
      </c>
      <c r="C20" t="s">
        <v>1</v>
      </c>
      <c r="D20">
        <v>200</v>
      </c>
      <c r="E20">
        <v>2</v>
      </c>
      <c r="F20">
        <v>19</v>
      </c>
      <c r="G20">
        <v>1782999405.69506</v>
      </c>
      <c r="H20">
        <v>-138</v>
      </c>
      <c r="I20">
        <v>-14</v>
      </c>
    </row>
    <row r="21" spans="1:9" x14ac:dyDescent="0.2">
      <c r="A21">
        <v>2378580364</v>
      </c>
      <c r="B21" t="s">
        <v>0</v>
      </c>
      <c r="C21" t="s">
        <v>1</v>
      </c>
      <c r="D21">
        <v>200</v>
      </c>
      <c r="E21">
        <v>2</v>
      </c>
      <c r="F21">
        <v>20</v>
      </c>
      <c r="G21">
        <v>1782999445.80548</v>
      </c>
      <c r="H21">
        <v>-140</v>
      </c>
      <c r="I21">
        <v>-14.75</v>
      </c>
    </row>
    <row r="22" spans="1:9" x14ac:dyDescent="0.2">
      <c r="A22">
        <v>487070093</v>
      </c>
      <c r="B22" t="s">
        <v>0</v>
      </c>
      <c r="C22" t="s">
        <v>1</v>
      </c>
      <c r="D22">
        <v>200</v>
      </c>
      <c r="E22">
        <v>2</v>
      </c>
      <c r="F22">
        <v>21</v>
      </c>
      <c r="G22">
        <v>1782999485.9222</v>
      </c>
      <c r="H22">
        <v>-141</v>
      </c>
      <c r="I22">
        <v>-15.75</v>
      </c>
    </row>
    <row r="23" spans="1:9" x14ac:dyDescent="0.2">
      <c r="A23">
        <v>2936550798</v>
      </c>
      <c r="B23" t="s">
        <v>0</v>
      </c>
      <c r="C23" t="s">
        <v>1</v>
      </c>
      <c r="D23">
        <v>200</v>
      </c>
      <c r="E23">
        <v>2</v>
      </c>
      <c r="F23">
        <v>22</v>
      </c>
      <c r="G23">
        <v>1782999526.0395801</v>
      </c>
      <c r="H23">
        <v>-142</v>
      </c>
      <c r="I23">
        <v>-16.75</v>
      </c>
    </row>
    <row r="24" spans="1:9" x14ac:dyDescent="0.2">
      <c r="A24">
        <v>1506869647</v>
      </c>
      <c r="B24" t="s">
        <v>0</v>
      </c>
      <c r="C24" t="s">
        <v>1</v>
      </c>
      <c r="D24">
        <v>200</v>
      </c>
      <c r="E24">
        <v>2</v>
      </c>
      <c r="F24">
        <v>23</v>
      </c>
      <c r="G24">
        <v>1782999566.1473</v>
      </c>
      <c r="H24">
        <v>-141</v>
      </c>
      <c r="I24">
        <v>-16</v>
      </c>
    </row>
    <row r="25" spans="1:9" x14ac:dyDescent="0.2">
      <c r="A25">
        <v>4167370128</v>
      </c>
      <c r="B25" t="s">
        <v>0</v>
      </c>
      <c r="C25" t="s">
        <v>1</v>
      </c>
      <c r="D25">
        <v>200</v>
      </c>
      <c r="E25">
        <v>2</v>
      </c>
      <c r="F25">
        <v>24</v>
      </c>
      <c r="G25">
        <v>1782999606.2673199</v>
      </c>
      <c r="H25">
        <v>-139</v>
      </c>
      <c r="I25">
        <v>-14.75</v>
      </c>
    </row>
    <row r="26" spans="1:9" x14ac:dyDescent="0.2">
      <c r="A26">
        <v>3653072273</v>
      </c>
      <c r="B26" t="s">
        <v>0</v>
      </c>
      <c r="C26" t="s">
        <v>1</v>
      </c>
      <c r="D26">
        <v>200</v>
      </c>
      <c r="E26">
        <v>2</v>
      </c>
      <c r="F26">
        <v>25</v>
      </c>
      <c r="G26">
        <v>1782999646.37521</v>
      </c>
      <c r="H26">
        <v>-139</v>
      </c>
      <c r="I26">
        <v>-14</v>
      </c>
    </row>
    <row r="27" spans="1:9" x14ac:dyDescent="0.2">
      <c r="A27">
        <v>2306105746</v>
      </c>
      <c r="B27" t="s">
        <v>0</v>
      </c>
      <c r="C27" t="s">
        <v>1</v>
      </c>
      <c r="D27">
        <v>200</v>
      </c>
      <c r="E27">
        <v>2</v>
      </c>
      <c r="F27">
        <v>26</v>
      </c>
      <c r="G27">
        <v>1782999686.49141</v>
      </c>
      <c r="H27">
        <v>-138</v>
      </c>
      <c r="I27">
        <v>-14.25</v>
      </c>
    </row>
    <row r="28" spans="1:9" x14ac:dyDescent="0.2">
      <c r="A28">
        <v>1904273811</v>
      </c>
      <c r="B28" t="s">
        <v>0</v>
      </c>
      <c r="C28" t="s">
        <v>1</v>
      </c>
      <c r="D28">
        <v>200</v>
      </c>
      <c r="E28">
        <v>2</v>
      </c>
      <c r="F28">
        <v>27</v>
      </c>
      <c r="G28">
        <v>1782999726.6001101</v>
      </c>
      <c r="H28">
        <v>-139</v>
      </c>
      <c r="I28">
        <v>-13.5</v>
      </c>
    </row>
    <row r="29" spans="1:9" x14ac:dyDescent="0.2">
      <c r="A29">
        <v>2700209556</v>
      </c>
      <c r="B29" t="s">
        <v>0</v>
      </c>
      <c r="C29" t="s">
        <v>1</v>
      </c>
      <c r="D29">
        <v>200</v>
      </c>
      <c r="E29">
        <v>2</v>
      </c>
      <c r="F29">
        <v>28</v>
      </c>
      <c r="G29">
        <v>1782999766.7091899</v>
      </c>
      <c r="H29">
        <v>-137</v>
      </c>
      <c r="I29">
        <v>-12.75</v>
      </c>
    </row>
    <row r="30" spans="1:9" x14ac:dyDescent="0.2">
      <c r="A30">
        <v>866147733</v>
      </c>
      <c r="B30" t="s">
        <v>0</v>
      </c>
      <c r="C30" t="s">
        <v>1</v>
      </c>
      <c r="D30">
        <v>200</v>
      </c>
      <c r="E30">
        <v>2</v>
      </c>
      <c r="F30">
        <v>29</v>
      </c>
      <c r="G30">
        <v>1782999806.8169401</v>
      </c>
      <c r="H30">
        <v>-138</v>
      </c>
      <c r="I30">
        <v>-14</v>
      </c>
    </row>
    <row r="31" spans="1:9" x14ac:dyDescent="0.2">
      <c r="A31">
        <v>4062013846</v>
      </c>
      <c r="B31" t="s">
        <v>0</v>
      </c>
      <c r="C31" t="s">
        <v>1</v>
      </c>
      <c r="D31">
        <v>200</v>
      </c>
      <c r="E31">
        <v>2</v>
      </c>
      <c r="F31">
        <v>30</v>
      </c>
      <c r="G31">
        <v>1782999846.9133601</v>
      </c>
      <c r="H31">
        <v>-141</v>
      </c>
      <c r="I31">
        <v>-16.25</v>
      </c>
    </row>
    <row r="32" spans="1:9" x14ac:dyDescent="0.2">
      <c r="A32">
        <v>533419415</v>
      </c>
      <c r="B32" t="s">
        <v>0</v>
      </c>
      <c r="C32" t="s">
        <v>1</v>
      </c>
      <c r="D32">
        <v>200</v>
      </c>
      <c r="E32">
        <v>2</v>
      </c>
      <c r="F32">
        <v>31</v>
      </c>
      <c r="G32">
        <v>1782999887.0324099</v>
      </c>
      <c r="H32">
        <v>-137</v>
      </c>
      <c r="I32">
        <v>-11.5</v>
      </c>
    </row>
    <row r="33" spans="1:9" x14ac:dyDescent="0.2">
      <c r="A33">
        <v>3177647512</v>
      </c>
      <c r="B33" t="s">
        <v>0</v>
      </c>
      <c r="C33" t="s">
        <v>1</v>
      </c>
      <c r="D33">
        <v>200</v>
      </c>
      <c r="E33">
        <v>2</v>
      </c>
      <c r="F33">
        <v>32</v>
      </c>
      <c r="G33">
        <v>1782999927.1419401</v>
      </c>
      <c r="H33">
        <v>-141</v>
      </c>
      <c r="I33">
        <v>-16</v>
      </c>
    </row>
    <row r="34" spans="1:9" x14ac:dyDescent="0.2">
      <c r="A34">
        <v>47998361</v>
      </c>
      <c r="B34" t="s">
        <v>0</v>
      </c>
      <c r="C34" t="s">
        <v>1</v>
      </c>
      <c r="D34">
        <v>200</v>
      </c>
      <c r="E34">
        <v>2</v>
      </c>
      <c r="F34">
        <v>33</v>
      </c>
      <c r="G34">
        <v>1782999967.25577</v>
      </c>
      <c r="H34">
        <v>-139</v>
      </c>
      <c r="I34">
        <v>-14.75</v>
      </c>
    </row>
    <row r="35" spans="1:9" x14ac:dyDescent="0.2">
      <c r="A35">
        <v>593970586</v>
      </c>
      <c r="B35" t="s">
        <v>0</v>
      </c>
      <c r="C35" t="s">
        <v>1</v>
      </c>
      <c r="D35">
        <v>200</v>
      </c>
      <c r="E35">
        <v>2</v>
      </c>
      <c r="F35">
        <v>34</v>
      </c>
      <c r="G35">
        <v>1783000007.3720701</v>
      </c>
      <c r="H35">
        <v>-138</v>
      </c>
      <c r="I35">
        <v>-13.5</v>
      </c>
    </row>
    <row r="36" spans="1:9" x14ac:dyDescent="0.2">
      <c r="A36">
        <v>1766821275</v>
      </c>
      <c r="B36" t="s">
        <v>0</v>
      </c>
      <c r="C36" t="s">
        <v>1</v>
      </c>
      <c r="D36">
        <v>200</v>
      </c>
      <c r="E36">
        <v>2</v>
      </c>
      <c r="F36">
        <v>35</v>
      </c>
      <c r="G36">
        <v>1783000047.4918599</v>
      </c>
      <c r="H36">
        <v>-139</v>
      </c>
      <c r="I36">
        <v>-15.25</v>
      </c>
    </row>
    <row r="37" spans="1:9" x14ac:dyDescent="0.2">
      <c r="A37">
        <v>2502261148</v>
      </c>
      <c r="B37" t="s">
        <v>0</v>
      </c>
      <c r="C37" t="s">
        <v>1</v>
      </c>
      <c r="D37">
        <v>200</v>
      </c>
      <c r="E37">
        <v>2</v>
      </c>
      <c r="F37">
        <v>36</v>
      </c>
      <c r="G37">
        <v>1783000087.5996399</v>
      </c>
      <c r="H37">
        <v>-140</v>
      </c>
      <c r="I37">
        <v>-14.75</v>
      </c>
    </row>
    <row r="38" spans="1:9" x14ac:dyDescent="0.2">
      <c r="A38">
        <v>3611640221</v>
      </c>
      <c r="B38" t="s">
        <v>0</v>
      </c>
      <c r="C38" t="s">
        <v>1</v>
      </c>
      <c r="D38">
        <v>200</v>
      </c>
      <c r="E38">
        <v>2</v>
      </c>
      <c r="F38">
        <v>37</v>
      </c>
      <c r="G38">
        <v>1783000127.7113199</v>
      </c>
      <c r="H38">
        <v>-139</v>
      </c>
      <c r="I38">
        <v>-14.25</v>
      </c>
    </row>
    <row r="39" spans="1:9" x14ac:dyDescent="0.2">
      <c r="A39">
        <v>1509663134</v>
      </c>
      <c r="B39" t="s">
        <v>0</v>
      </c>
      <c r="C39" t="s">
        <v>1</v>
      </c>
      <c r="D39">
        <v>200</v>
      </c>
      <c r="E39">
        <v>2</v>
      </c>
      <c r="F39">
        <v>38</v>
      </c>
      <c r="G39">
        <v>1783000167.8222401</v>
      </c>
      <c r="H39">
        <v>-139</v>
      </c>
      <c r="I39">
        <v>-14</v>
      </c>
    </row>
    <row r="40" spans="1:9" x14ac:dyDescent="0.2">
      <c r="A40">
        <v>3285140895</v>
      </c>
      <c r="B40" t="s">
        <v>0</v>
      </c>
      <c r="C40" t="s">
        <v>1</v>
      </c>
      <c r="D40">
        <v>200</v>
      </c>
      <c r="E40">
        <v>2</v>
      </c>
      <c r="F40">
        <v>39</v>
      </c>
      <c r="G40">
        <v>1783000207.94346</v>
      </c>
      <c r="H40">
        <v>-139</v>
      </c>
      <c r="I40">
        <v>-13</v>
      </c>
    </row>
    <row r="41" spans="1:9" x14ac:dyDescent="0.2">
      <c r="A41">
        <v>1608709536</v>
      </c>
      <c r="B41" t="s">
        <v>0</v>
      </c>
      <c r="C41" t="s">
        <v>1</v>
      </c>
      <c r="D41">
        <v>200</v>
      </c>
      <c r="E41">
        <v>2</v>
      </c>
      <c r="F41">
        <v>40</v>
      </c>
      <c r="G41">
        <v>1783000248.0588701</v>
      </c>
      <c r="H41">
        <v>-138</v>
      </c>
      <c r="I41">
        <v>-14.25</v>
      </c>
    </row>
    <row r="42" spans="1:9" x14ac:dyDescent="0.2">
      <c r="A42">
        <v>2902921633</v>
      </c>
      <c r="B42" t="s">
        <v>0</v>
      </c>
      <c r="C42" t="s">
        <v>1</v>
      </c>
      <c r="D42">
        <v>200</v>
      </c>
      <c r="E42">
        <v>2</v>
      </c>
      <c r="F42">
        <v>41</v>
      </c>
      <c r="G42">
        <v>1783000288.1750801</v>
      </c>
      <c r="H42">
        <v>-138</v>
      </c>
      <c r="I42">
        <v>-14</v>
      </c>
    </row>
    <row r="43" spans="1:9" x14ac:dyDescent="0.2">
      <c r="A43">
        <v>993016226</v>
      </c>
      <c r="B43" t="s">
        <v>0</v>
      </c>
      <c r="C43" t="s">
        <v>1</v>
      </c>
      <c r="D43">
        <v>200</v>
      </c>
      <c r="E43">
        <v>2</v>
      </c>
      <c r="F43">
        <v>42</v>
      </c>
      <c r="G43">
        <v>1783000328.29125</v>
      </c>
      <c r="H43">
        <v>-138</v>
      </c>
      <c r="I43">
        <v>-14.25</v>
      </c>
    </row>
    <row r="44" spans="1:9" x14ac:dyDescent="0.2">
      <c r="A44">
        <v>3105224099</v>
      </c>
      <c r="B44" t="s">
        <v>0</v>
      </c>
      <c r="C44" t="s">
        <v>1</v>
      </c>
      <c r="D44">
        <v>8</v>
      </c>
      <c r="E44">
        <v>2</v>
      </c>
      <c r="F44">
        <v>43</v>
      </c>
      <c r="G44">
        <v>1783000368.4014599</v>
      </c>
      <c r="H44">
        <v>-134</v>
      </c>
      <c r="I44">
        <v>-10.25</v>
      </c>
    </row>
    <row r="45" spans="1:9" x14ac:dyDescent="0.2">
      <c r="A45">
        <v>2451194276</v>
      </c>
      <c r="B45" t="s">
        <v>0</v>
      </c>
      <c r="C45" t="s">
        <v>1</v>
      </c>
      <c r="D45">
        <v>200</v>
      </c>
      <c r="E45">
        <v>2</v>
      </c>
      <c r="F45">
        <v>44</v>
      </c>
      <c r="G45">
        <v>1783000408.5188</v>
      </c>
      <c r="H45">
        <v>-137</v>
      </c>
      <c r="I45">
        <v>-13</v>
      </c>
    </row>
    <row r="46" spans="1:9" x14ac:dyDescent="0.2">
      <c r="A46">
        <v>758402469</v>
      </c>
      <c r="B46" t="s">
        <v>0</v>
      </c>
      <c r="C46" t="s">
        <v>1</v>
      </c>
      <c r="D46">
        <v>200</v>
      </c>
      <c r="E46">
        <v>2</v>
      </c>
      <c r="F46">
        <v>45</v>
      </c>
      <c r="G46">
        <v>1783000448.6324501</v>
      </c>
      <c r="H46">
        <v>-139</v>
      </c>
      <c r="I46">
        <v>-14.5</v>
      </c>
    </row>
    <row r="47" spans="1:9" x14ac:dyDescent="0.2">
      <c r="A47">
        <v>1176627622</v>
      </c>
      <c r="B47" t="s">
        <v>0</v>
      </c>
      <c r="C47" t="s">
        <v>1</v>
      </c>
      <c r="D47">
        <v>200</v>
      </c>
      <c r="E47">
        <v>2</v>
      </c>
      <c r="F47">
        <v>46</v>
      </c>
      <c r="G47">
        <v>1783000488.7458301</v>
      </c>
      <c r="H47">
        <v>-139</v>
      </c>
      <c r="I47">
        <v>-13.75</v>
      </c>
    </row>
    <row r="48" spans="1:9" x14ac:dyDescent="0.2">
      <c r="A48">
        <v>1802724775</v>
      </c>
      <c r="B48" t="s">
        <v>0</v>
      </c>
      <c r="C48" t="s">
        <v>1</v>
      </c>
      <c r="D48">
        <v>200</v>
      </c>
      <c r="E48">
        <v>2</v>
      </c>
      <c r="F48">
        <v>47</v>
      </c>
      <c r="G48">
        <v>1783000528.86498</v>
      </c>
      <c r="H48">
        <v>-138</v>
      </c>
      <c r="I48">
        <v>-13</v>
      </c>
    </row>
    <row r="49" spans="1:9" x14ac:dyDescent="0.2">
      <c r="A49">
        <v>2146715048</v>
      </c>
      <c r="B49" t="s">
        <v>0</v>
      </c>
      <c r="C49" t="s">
        <v>1</v>
      </c>
      <c r="D49">
        <v>200</v>
      </c>
      <c r="E49">
        <v>2</v>
      </c>
      <c r="F49">
        <v>48</v>
      </c>
      <c r="G49">
        <v>1783000568.97102</v>
      </c>
      <c r="H49">
        <v>-138</v>
      </c>
      <c r="I49">
        <v>-14</v>
      </c>
    </row>
    <row r="50" spans="1:9" x14ac:dyDescent="0.2">
      <c r="A50">
        <v>688537001</v>
      </c>
      <c r="B50" t="s">
        <v>0</v>
      </c>
      <c r="C50" t="s">
        <v>1</v>
      </c>
      <c r="D50">
        <v>200</v>
      </c>
      <c r="E50">
        <v>2</v>
      </c>
      <c r="F50">
        <v>49</v>
      </c>
      <c r="G50">
        <v>1783000609.0870099</v>
      </c>
      <c r="H50">
        <v>-138</v>
      </c>
      <c r="I50">
        <v>-13</v>
      </c>
    </row>
    <row r="51" spans="1:9" x14ac:dyDescent="0.2">
      <c r="A51">
        <v>1733024170</v>
      </c>
      <c r="B51" t="s">
        <v>0</v>
      </c>
      <c r="C51" t="s">
        <v>1</v>
      </c>
      <c r="D51">
        <v>200</v>
      </c>
      <c r="E51">
        <v>2</v>
      </c>
      <c r="F51">
        <v>50</v>
      </c>
      <c r="G51">
        <v>1783000649.2007</v>
      </c>
      <c r="H51">
        <v>-138</v>
      </c>
      <c r="I51">
        <v>-13.25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0BDA-7D79-B646-9CBE-F94E4157671F}">
  <sheetPr codeName="Sheet6">
    <tabColor rgb="FFFFFF00"/>
  </sheetPr>
  <dimension ref="A1:D101"/>
  <sheetViews>
    <sheetView topLeftCell="A42" workbookViewId="0">
      <selection sqref="A1:XFD1"/>
    </sheetView>
  </sheetViews>
  <sheetFormatPr baseColWidth="10" defaultRowHeight="16" x14ac:dyDescent="0.2"/>
  <sheetData>
    <row r="1" spans="1:4" x14ac:dyDescent="0.2">
      <c r="B1" s="2"/>
    </row>
    <row r="2" spans="1:4" x14ac:dyDescent="0.2">
      <c r="A2">
        <v>2068239737</v>
      </c>
      <c r="B2" s="2" t="s">
        <v>127</v>
      </c>
    </row>
    <row r="3" spans="1:4" x14ac:dyDescent="0.2">
      <c r="A3">
        <v>2068239737</v>
      </c>
      <c r="B3" s="2" t="s">
        <v>128</v>
      </c>
      <c r="C3">
        <v>-114</v>
      </c>
      <c r="D3">
        <v>6.5</v>
      </c>
    </row>
    <row r="4" spans="1:4" x14ac:dyDescent="0.2">
      <c r="A4">
        <v>3977495930</v>
      </c>
      <c r="B4" s="2" t="s">
        <v>129</v>
      </c>
    </row>
    <row r="5" spans="1:4" x14ac:dyDescent="0.2">
      <c r="A5">
        <v>3977495930</v>
      </c>
      <c r="B5" s="2" t="s">
        <v>130</v>
      </c>
      <c r="C5">
        <v>-143</v>
      </c>
      <c r="D5">
        <v>-19.25</v>
      </c>
    </row>
    <row r="6" spans="1:4" x14ac:dyDescent="0.2">
      <c r="A6">
        <v>2700889467</v>
      </c>
      <c r="B6" s="2" t="s">
        <v>131</v>
      </c>
    </row>
    <row r="7" spans="1:4" x14ac:dyDescent="0.2">
      <c r="A7">
        <v>2700889467</v>
      </c>
      <c r="B7" s="2" t="s">
        <v>132</v>
      </c>
      <c r="C7">
        <v>-114</v>
      </c>
      <c r="D7">
        <v>8</v>
      </c>
    </row>
    <row r="8" spans="1:4" x14ac:dyDescent="0.2">
      <c r="A8">
        <v>3513514364</v>
      </c>
      <c r="B8" s="2" t="s">
        <v>133</v>
      </c>
    </row>
    <row r="9" spans="1:4" x14ac:dyDescent="0.2">
      <c r="A9">
        <v>3513514364</v>
      </c>
      <c r="B9" s="2" t="s">
        <v>134</v>
      </c>
      <c r="C9">
        <v>-113</v>
      </c>
      <c r="D9">
        <v>6.25</v>
      </c>
    </row>
    <row r="10" spans="1:4" x14ac:dyDescent="0.2">
      <c r="A10">
        <v>2023546237</v>
      </c>
      <c r="B10" s="2" t="s">
        <v>135</v>
      </c>
    </row>
    <row r="11" spans="1:4" x14ac:dyDescent="0.2">
      <c r="A11">
        <v>2023546237</v>
      </c>
      <c r="B11" s="2" t="s">
        <v>136</v>
      </c>
      <c r="C11">
        <v>-144</v>
      </c>
      <c r="D11">
        <v>-20</v>
      </c>
    </row>
    <row r="12" spans="1:4" x14ac:dyDescent="0.2">
      <c r="A12">
        <v>3117243774</v>
      </c>
      <c r="B12" s="2" t="s">
        <v>137</v>
      </c>
    </row>
    <row r="13" spans="1:4" x14ac:dyDescent="0.2">
      <c r="A13">
        <v>3117243774</v>
      </c>
      <c r="B13" s="2" t="s">
        <v>138</v>
      </c>
      <c r="C13">
        <v>-113</v>
      </c>
      <c r="D13">
        <v>7.5</v>
      </c>
    </row>
    <row r="14" spans="1:4" x14ac:dyDescent="0.2">
      <c r="A14">
        <v>1509996927</v>
      </c>
      <c r="B14" s="2" t="s">
        <v>139</v>
      </c>
    </row>
    <row r="15" spans="1:4" x14ac:dyDescent="0.2">
      <c r="A15">
        <v>1509996927</v>
      </c>
      <c r="B15" s="2" t="s">
        <v>140</v>
      </c>
      <c r="C15">
        <v>-113</v>
      </c>
      <c r="D15">
        <v>8</v>
      </c>
    </row>
    <row r="16" spans="1:4" x14ac:dyDescent="0.2">
      <c r="A16">
        <v>2272942464</v>
      </c>
      <c r="B16" s="2" t="s">
        <v>141</v>
      </c>
    </row>
    <row r="17" spans="1:4" x14ac:dyDescent="0.2">
      <c r="A17">
        <v>2272942464</v>
      </c>
      <c r="B17" s="2" t="s">
        <v>142</v>
      </c>
      <c r="C17">
        <v>-145</v>
      </c>
      <c r="D17">
        <v>-19.75</v>
      </c>
    </row>
    <row r="18" spans="1:4" x14ac:dyDescent="0.2">
      <c r="A18">
        <v>2500461953</v>
      </c>
      <c r="B18" s="2" t="s">
        <v>143</v>
      </c>
    </row>
    <row r="19" spans="1:4" x14ac:dyDescent="0.2">
      <c r="A19">
        <v>2500461953</v>
      </c>
      <c r="B19" s="2" t="s">
        <v>144</v>
      </c>
      <c r="C19">
        <v>-144</v>
      </c>
      <c r="D19">
        <v>-20</v>
      </c>
    </row>
    <row r="20" spans="1:4" x14ac:dyDescent="0.2">
      <c r="A20">
        <v>432717186</v>
      </c>
      <c r="B20">
        <v>1782999047.31128</v>
      </c>
    </row>
    <row r="21" spans="1:4" x14ac:dyDescent="0.2">
      <c r="A21">
        <v>432717186</v>
      </c>
      <c r="B21" s="2" t="s">
        <v>145</v>
      </c>
      <c r="C21">
        <v>-114</v>
      </c>
      <c r="D21">
        <v>7.25</v>
      </c>
    </row>
    <row r="22" spans="1:4" x14ac:dyDescent="0.2">
      <c r="A22">
        <v>1073852803</v>
      </c>
      <c r="B22">
        <v>1782999088.1686001</v>
      </c>
    </row>
    <row r="23" spans="1:4" x14ac:dyDescent="0.2">
      <c r="A23">
        <v>1073852803</v>
      </c>
      <c r="B23" s="2" t="s">
        <v>146</v>
      </c>
      <c r="C23">
        <v>-145</v>
      </c>
      <c r="D23">
        <v>-19.75</v>
      </c>
    </row>
    <row r="24" spans="1:4" x14ac:dyDescent="0.2">
      <c r="A24">
        <v>155224452</v>
      </c>
      <c r="B24" s="2" t="s">
        <v>147</v>
      </c>
    </row>
    <row r="25" spans="1:4" x14ac:dyDescent="0.2">
      <c r="A25">
        <v>155224452</v>
      </c>
      <c r="B25" s="2" t="s">
        <v>148</v>
      </c>
      <c r="C25">
        <v>-116</v>
      </c>
      <c r="D25">
        <v>8</v>
      </c>
    </row>
    <row r="26" spans="1:4" x14ac:dyDescent="0.2">
      <c r="A26">
        <v>2023571845</v>
      </c>
      <c r="B26" s="2" t="s">
        <v>149</v>
      </c>
    </row>
    <row r="27" spans="1:4" x14ac:dyDescent="0.2">
      <c r="A27">
        <v>2023571845</v>
      </c>
      <c r="B27" s="2" t="s">
        <v>150</v>
      </c>
      <c r="C27">
        <v>-142</v>
      </c>
      <c r="D27">
        <v>-19.25</v>
      </c>
    </row>
    <row r="28" spans="1:4" x14ac:dyDescent="0.2">
      <c r="A28">
        <v>25504134</v>
      </c>
      <c r="B28" s="2" t="s">
        <v>151</v>
      </c>
    </row>
    <row r="29" spans="1:4" x14ac:dyDescent="0.2">
      <c r="A29">
        <v>25504134</v>
      </c>
      <c r="B29" s="2" t="s">
        <v>152</v>
      </c>
      <c r="C29">
        <v>-115</v>
      </c>
      <c r="D29">
        <v>7</v>
      </c>
    </row>
    <row r="30" spans="1:4" x14ac:dyDescent="0.2">
      <c r="A30">
        <v>414709127</v>
      </c>
      <c r="B30" s="2" t="s">
        <v>153</v>
      </c>
    </row>
    <row r="31" spans="1:4" x14ac:dyDescent="0.2">
      <c r="A31">
        <v>414709127</v>
      </c>
      <c r="B31" s="2" t="s">
        <v>154</v>
      </c>
      <c r="C31">
        <v>-113</v>
      </c>
      <c r="D31">
        <v>8.75</v>
      </c>
    </row>
    <row r="32" spans="1:4" x14ac:dyDescent="0.2">
      <c r="A32">
        <v>2233118088</v>
      </c>
      <c r="B32" s="2" t="s">
        <v>155</v>
      </c>
    </row>
    <row r="33" spans="1:4" x14ac:dyDescent="0.2">
      <c r="A33">
        <v>2233118088</v>
      </c>
      <c r="B33" s="2" t="s">
        <v>156</v>
      </c>
      <c r="C33">
        <v>-113</v>
      </c>
      <c r="D33">
        <v>7</v>
      </c>
    </row>
    <row r="34" spans="1:4" x14ac:dyDescent="0.2">
      <c r="A34">
        <v>3737309577</v>
      </c>
      <c r="B34" s="2" t="s">
        <v>157</v>
      </c>
    </row>
    <row r="35" spans="1:4" x14ac:dyDescent="0.2">
      <c r="A35">
        <v>3737309577</v>
      </c>
      <c r="B35" s="2" t="s">
        <v>158</v>
      </c>
      <c r="C35">
        <v>-113</v>
      </c>
      <c r="D35">
        <v>8.25</v>
      </c>
    </row>
    <row r="36" spans="1:4" x14ac:dyDescent="0.2">
      <c r="A36">
        <v>2263938442</v>
      </c>
      <c r="B36" s="2" t="s">
        <v>159</v>
      </c>
    </row>
    <row r="37" spans="1:4" x14ac:dyDescent="0.2">
      <c r="A37">
        <v>2263938442</v>
      </c>
      <c r="B37" s="2" t="s">
        <v>160</v>
      </c>
      <c r="C37">
        <v>-115</v>
      </c>
      <c r="D37">
        <v>6.5</v>
      </c>
    </row>
    <row r="38" spans="1:4" x14ac:dyDescent="0.2">
      <c r="A38">
        <v>3103342987</v>
      </c>
      <c r="B38" s="2" t="s">
        <v>161</v>
      </c>
    </row>
    <row r="39" spans="1:4" x14ac:dyDescent="0.2">
      <c r="A39">
        <v>3103342987</v>
      </c>
      <c r="B39">
        <v>1782999416.25984</v>
      </c>
      <c r="C39">
        <v>-113</v>
      </c>
      <c r="D39">
        <v>7.25</v>
      </c>
    </row>
    <row r="40" spans="1:4" x14ac:dyDescent="0.2">
      <c r="A40">
        <v>2378580364</v>
      </c>
      <c r="B40" s="2" t="s">
        <v>162</v>
      </c>
    </row>
    <row r="41" spans="1:4" x14ac:dyDescent="0.2">
      <c r="A41">
        <v>2378580364</v>
      </c>
      <c r="B41" s="2" t="s">
        <v>163</v>
      </c>
      <c r="C41">
        <v>-115</v>
      </c>
      <c r="D41">
        <v>5.5</v>
      </c>
    </row>
    <row r="42" spans="1:4" x14ac:dyDescent="0.2">
      <c r="A42">
        <v>487070093</v>
      </c>
      <c r="B42" s="2" t="s">
        <v>164</v>
      </c>
    </row>
    <row r="43" spans="1:4" x14ac:dyDescent="0.2">
      <c r="A43">
        <v>487070093</v>
      </c>
      <c r="B43" s="2" t="s">
        <v>165</v>
      </c>
      <c r="C43">
        <v>-144</v>
      </c>
      <c r="D43">
        <v>-19.5</v>
      </c>
    </row>
    <row r="44" spans="1:4" x14ac:dyDescent="0.2">
      <c r="A44">
        <v>2936550798</v>
      </c>
      <c r="B44" s="2" t="s">
        <v>166</v>
      </c>
    </row>
    <row r="45" spans="1:4" x14ac:dyDescent="0.2">
      <c r="A45">
        <v>2936550798</v>
      </c>
      <c r="B45">
        <v>1782999535.8207901</v>
      </c>
      <c r="C45">
        <v>-116</v>
      </c>
      <c r="D45">
        <v>6.5</v>
      </c>
    </row>
    <row r="46" spans="1:4" x14ac:dyDescent="0.2">
      <c r="A46">
        <v>1506869647</v>
      </c>
      <c r="B46" s="2" t="s">
        <v>167</v>
      </c>
    </row>
    <row r="47" spans="1:4" x14ac:dyDescent="0.2">
      <c r="A47">
        <v>1506869647</v>
      </c>
      <c r="B47">
        <v>1782999577.23369</v>
      </c>
      <c r="C47">
        <v>-112</v>
      </c>
      <c r="D47">
        <v>7.75</v>
      </c>
    </row>
    <row r="48" spans="1:4" x14ac:dyDescent="0.2">
      <c r="A48">
        <v>4167370128</v>
      </c>
      <c r="B48" s="2" t="s">
        <v>168</v>
      </c>
    </row>
    <row r="49" spans="1:4" x14ac:dyDescent="0.2">
      <c r="A49">
        <v>4167370128</v>
      </c>
      <c r="B49" s="2" t="s">
        <v>169</v>
      </c>
      <c r="C49">
        <v>-113</v>
      </c>
      <c r="D49">
        <v>6.75</v>
      </c>
    </row>
    <row r="50" spans="1:4" x14ac:dyDescent="0.2">
      <c r="A50">
        <v>3653072273</v>
      </c>
      <c r="B50" s="2" t="s">
        <v>170</v>
      </c>
    </row>
    <row r="51" spans="1:4" x14ac:dyDescent="0.2">
      <c r="A51">
        <v>3653072273</v>
      </c>
      <c r="B51" s="2" t="s">
        <v>171</v>
      </c>
      <c r="C51">
        <v>-113</v>
      </c>
      <c r="D51">
        <v>7</v>
      </c>
    </row>
    <row r="52" spans="1:4" x14ac:dyDescent="0.2">
      <c r="A52">
        <v>2306105746</v>
      </c>
      <c r="B52" s="2" t="s">
        <v>172</v>
      </c>
    </row>
    <row r="53" spans="1:4" x14ac:dyDescent="0.2">
      <c r="A53">
        <v>2306105746</v>
      </c>
      <c r="B53" s="2" t="s">
        <v>173</v>
      </c>
      <c r="C53">
        <v>-113</v>
      </c>
      <c r="D53">
        <v>7.75</v>
      </c>
    </row>
    <row r="54" spans="1:4" x14ac:dyDescent="0.2">
      <c r="A54">
        <v>1904273811</v>
      </c>
      <c r="B54" s="2" t="s">
        <v>174</v>
      </c>
    </row>
    <row r="55" spans="1:4" x14ac:dyDescent="0.2">
      <c r="A55">
        <v>1904273811</v>
      </c>
      <c r="B55" s="2" t="s">
        <v>175</v>
      </c>
      <c r="C55">
        <v>-113</v>
      </c>
      <c r="D55">
        <v>7.75</v>
      </c>
    </row>
    <row r="56" spans="1:4" x14ac:dyDescent="0.2">
      <c r="A56">
        <v>2700209556</v>
      </c>
      <c r="B56" s="2" t="s">
        <v>176</v>
      </c>
    </row>
    <row r="57" spans="1:4" x14ac:dyDescent="0.2">
      <c r="A57">
        <v>2700209556</v>
      </c>
      <c r="B57">
        <v>1782999775.5987599</v>
      </c>
      <c r="C57">
        <v>-144</v>
      </c>
      <c r="D57">
        <v>-20</v>
      </c>
    </row>
    <row r="58" spans="1:4" x14ac:dyDescent="0.2">
      <c r="A58">
        <v>866147733</v>
      </c>
      <c r="B58" s="2" t="s">
        <v>177</v>
      </c>
    </row>
    <row r="59" spans="1:4" x14ac:dyDescent="0.2">
      <c r="A59">
        <v>866147733</v>
      </c>
      <c r="B59" s="2" t="s">
        <v>178</v>
      </c>
      <c r="C59">
        <v>-113</v>
      </c>
      <c r="D59">
        <v>7.75</v>
      </c>
    </row>
    <row r="60" spans="1:4" x14ac:dyDescent="0.2">
      <c r="A60">
        <v>4062013846</v>
      </c>
      <c r="B60" s="2" t="s">
        <v>179</v>
      </c>
    </row>
    <row r="61" spans="1:4" x14ac:dyDescent="0.2">
      <c r="A61">
        <v>4062013846</v>
      </c>
      <c r="B61" s="2" t="s">
        <v>180</v>
      </c>
      <c r="C61">
        <v>-144</v>
      </c>
      <c r="D61">
        <v>-19.75</v>
      </c>
    </row>
    <row r="62" spans="1:4" x14ac:dyDescent="0.2">
      <c r="A62">
        <v>533419415</v>
      </c>
      <c r="B62" s="2" t="s">
        <v>181</v>
      </c>
    </row>
    <row r="63" spans="1:4" x14ac:dyDescent="0.2">
      <c r="A63">
        <v>533419415</v>
      </c>
      <c r="B63" s="2" t="s">
        <v>182</v>
      </c>
      <c r="C63">
        <v>-112</v>
      </c>
      <c r="D63">
        <v>7.75</v>
      </c>
    </row>
    <row r="64" spans="1:4" x14ac:dyDescent="0.2">
      <c r="A64">
        <v>3177647512</v>
      </c>
      <c r="B64" s="2" t="s">
        <v>183</v>
      </c>
    </row>
    <row r="65" spans="1:4" x14ac:dyDescent="0.2">
      <c r="A65">
        <v>3177647512</v>
      </c>
      <c r="B65">
        <v>1782999935.6345999</v>
      </c>
      <c r="C65">
        <v>-144</v>
      </c>
      <c r="D65">
        <v>-20</v>
      </c>
    </row>
    <row r="66" spans="1:4" x14ac:dyDescent="0.2">
      <c r="A66">
        <v>47998361</v>
      </c>
      <c r="B66" s="2" t="s">
        <v>184</v>
      </c>
    </row>
    <row r="67" spans="1:4" x14ac:dyDescent="0.2">
      <c r="A67">
        <v>47998361</v>
      </c>
      <c r="B67" s="2" t="s">
        <v>185</v>
      </c>
      <c r="C67">
        <v>-141</v>
      </c>
      <c r="D67">
        <v>-17.25</v>
      </c>
    </row>
    <row r="68" spans="1:4" x14ac:dyDescent="0.2">
      <c r="A68">
        <v>593970586</v>
      </c>
      <c r="B68">
        <v>1783000010.3787301</v>
      </c>
    </row>
    <row r="69" spans="1:4" x14ac:dyDescent="0.2">
      <c r="A69">
        <v>593970586</v>
      </c>
      <c r="B69" s="2" t="s">
        <v>186</v>
      </c>
      <c r="C69">
        <v>-114</v>
      </c>
      <c r="D69">
        <v>7</v>
      </c>
    </row>
    <row r="70" spans="1:4" x14ac:dyDescent="0.2">
      <c r="A70">
        <v>1766821275</v>
      </c>
      <c r="B70" s="2" t="s">
        <v>187</v>
      </c>
    </row>
    <row r="71" spans="1:4" x14ac:dyDescent="0.2">
      <c r="A71">
        <v>1766821275</v>
      </c>
      <c r="B71" s="2" t="s">
        <v>188</v>
      </c>
      <c r="C71">
        <v>-115</v>
      </c>
      <c r="D71">
        <v>5</v>
      </c>
    </row>
    <row r="72" spans="1:4" x14ac:dyDescent="0.2">
      <c r="A72">
        <v>2502261148</v>
      </c>
      <c r="B72" s="2" t="s">
        <v>189</v>
      </c>
    </row>
    <row r="73" spans="1:4" x14ac:dyDescent="0.2">
      <c r="A73">
        <v>2502261148</v>
      </c>
      <c r="B73" s="2" t="s">
        <v>190</v>
      </c>
      <c r="C73">
        <v>-115</v>
      </c>
      <c r="D73">
        <v>6.75</v>
      </c>
    </row>
    <row r="74" spans="1:4" x14ac:dyDescent="0.2">
      <c r="A74">
        <v>3611640221</v>
      </c>
      <c r="B74" s="2" t="s">
        <v>191</v>
      </c>
    </row>
    <row r="75" spans="1:4" x14ac:dyDescent="0.2">
      <c r="A75">
        <v>3611640221</v>
      </c>
      <c r="B75" s="2" t="s">
        <v>192</v>
      </c>
      <c r="C75">
        <v>-114</v>
      </c>
      <c r="D75">
        <v>6.5</v>
      </c>
    </row>
    <row r="76" spans="1:4" x14ac:dyDescent="0.2">
      <c r="A76">
        <v>1509663134</v>
      </c>
      <c r="B76" s="2" t="s">
        <v>193</v>
      </c>
    </row>
    <row r="77" spans="1:4" x14ac:dyDescent="0.2">
      <c r="A77">
        <v>1509663134</v>
      </c>
      <c r="B77" s="2" t="s">
        <v>194</v>
      </c>
      <c r="C77">
        <v>-116</v>
      </c>
      <c r="D77">
        <v>6.5</v>
      </c>
    </row>
    <row r="78" spans="1:4" x14ac:dyDescent="0.2">
      <c r="A78">
        <v>3285140895</v>
      </c>
      <c r="B78" s="2" t="s">
        <v>195</v>
      </c>
    </row>
    <row r="79" spans="1:4" x14ac:dyDescent="0.2">
      <c r="A79">
        <v>3285140895</v>
      </c>
      <c r="B79" s="2" t="s">
        <v>196</v>
      </c>
      <c r="C79">
        <v>-115</v>
      </c>
      <c r="D79">
        <v>7.25</v>
      </c>
    </row>
    <row r="80" spans="1:4" x14ac:dyDescent="0.2">
      <c r="A80">
        <v>1608709536</v>
      </c>
      <c r="B80">
        <v>1783000251.2269499</v>
      </c>
    </row>
    <row r="81" spans="1:4" x14ac:dyDescent="0.2">
      <c r="A81">
        <v>1608709536</v>
      </c>
      <c r="B81" s="2" t="s">
        <v>197</v>
      </c>
      <c r="C81">
        <v>-144</v>
      </c>
      <c r="D81">
        <v>-19.5</v>
      </c>
    </row>
    <row r="82" spans="1:4" x14ac:dyDescent="0.2">
      <c r="A82">
        <v>2902921633</v>
      </c>
      <c r="B82" s="2" t="s">
        <v>198</v>
      </c>
    </row>
    <row r="83" spans="1:4" x14ac:dyDescent="0.2">
      <c r="A83">
        <v>2902921633</v>
      </c>
      <c r="B83" s="2" t="s">
        <v>199</v>
      </c>
      <c r="C83">
        <v>-143</v>
      </c>
      <c r="D83">
        <v>-19.25</v>
      </c>
    </row>
    <row r="84" spans="1:4" x14ac:dyDescent="0.2">
      <c r="A84">
        <v>993016226</v>
      </c>
      <c r="B84" s="2" t="s">
        <v>200</v>
      </c>
    </row>
    <row r="85" spans="1:4" x14ac:dyDescent="0.2">
      <c r="A85">
        <v>993016226</v>
      </c>
      <c r="B85" s="2" t="s">
        <v>201</v>
      </c>
      <c r="C85">
        <v>-143</v>
      </c>
      <c r="D85">
        <v>-19</v>
      </c>
    </row>
    <row r="86" spans="1:4" x14ac:dyDescent="0.2">
      <c r="A86">
        <v>3105224099</v>
      </c>
      <c r="B86" s="2" t="s">
        <v>202</v>
      </c>
    </row>
    <row r="87" spans="1:4" x14ac:dyDescent="0.2">
      <c r="A87">
        <v>3105224099</v>
      </c>
      <c r="B87" s="2" t="s">
        <v>203</v>
      </c>
      <c r="C87">
        <v>-114</v>
      </c>
      <c r="D87">
        <v>7.5</v>
      </c>
    </row>
    <row r="88" spans="1:4" x14ac:dyDescent="0.2">
      <c r="A88">
        <v>2451194276</v>
      </c>
      <c r="B88" s="2" t="s">
        <v>204</v>
      </c>
    </row>
    <row r="89" spans="1:4" x14ac:dyDescent="0.2">
      <c r="A89">
        <v>2451194276</v>
      </c>
      <c r="B89" s="2" t="s">
        <v>205</v>
      </c>
      <c r="C89">
        <v>-144</v>
      </c>
      <c r="D89">
        <v>-18.75</v>
      </c>
    </row>
    <row r="90" spans="1:4" x14ac:dyDescent="0.2">
      <c r="A90">
        <v>758402469</v>
      </c>
      <c r="B90" s="2" t="s">
        <v>206</v>
      </c>
    </row>
    <row r="91" spans="1:4" x14ac:dyDescent="0.2">
      <c r="A91">
        <v>758402469</v>
      </c>
      <c r="B91" s="2" t="s">
        <v>207</v>
      </c>
      <c r="C91">
        <v>-113</v>
      </c>
      <c r="D91">
        <v>7.75</v>
      </c>
    </row>
    <row r="92" spans="1:4" x14ac:dyDescent="0.2">
      <c r="A92">
        <v>1176627622</v>
      </c>
      <c r="B92" s="2" t="s">
        <v>208</v>
      </c>
    </row>
    <row r="93" spans="1:4" x14ac:dyDescent="0.2">
      <c r="A93">
        <v>1176627622</v>
      </c>
      <c r="B93" s="2" t="s">
        <v>209</v>
      </c>
      <c r="C93">
        <v>-144</v>
      </c>
      <c r="D93">
        <v>-20</v>
      </c>
    </row>
    <row r="94" spans="1:4" x14ac:dyDescent="0.2">
      <c r="A94">
        <v>1802724775</v>
      </c>
      <c r="B94">
        <v>1783000532.2678499</v>
      </c>
    </row>
    <row r="95" spans="1:4" x14ac:dyDescent="0.2">
      <c r="A95">
        <v>1802724775</v>
      </c>
      <c r="B95" s="2" t="s">
        <v>210</v>
      </c>
      <c r="C95">
        <v>-145</v>
      </c>
      <c r="D95">
        <v>-20.25</v>
      </c>
    </row>
    <row r="96" spans="1:4" x14ac:dyDescent="0.2">
      <c r="A96">
        <v>2146715048</v>
      </c>
      <c r="B96" s="2" t="s">
        <v>211</v>
      </c>
    </row>
    <row r="97" spans="1:4" x14ac:dyDescent="0.2">
      <c r="A97">
        <v>2146715048</v>
      </c>
      <c r="B97">
        <v>1783000578.4006701</v>
      </c>
      <c r="C97">
        <v>-144</v>
      </c>
      <c r="D97">
        <v>-19.25</v>
      </c>
    </row>
    <row r="98" spans="1:4" x14ac:dyDescent="0.2">
      <c r="A98">
        <v>688537001</v>
      </c>
      <c r="B98" s="2" t="s">
        <v>212</v>
      </c>
    </row>
    <row r="99" spans="1:4" x14ac:dyDescent="0.2">
      <c r="A99">
        <v>688537001</v>
      </c>
      <c r="B99" s="2" t="s">
        <v>213</v>
      </c>
      <c r="C99">
        <v>-116</v>
      </c>
      <c r="D99">
        <v>6</v>
      </c>
    </row>
    <row r="100" spans="1:4" x14ac:dyDescent="0.2">
      <c r="A100">
        <v>1733024170</v>
      </c>
      <c r="B100" s="2" t="s">
        <v>214</v>
      </c>
    </row>
    <row r="101" spans="1:4" x14ac:dyDescent="0.2">
      <c r="A101">
        <v>1733024170</v>
      </c>
      <c r="B101" s="2" t="s">
        <v>215</v>
      </c>
      <c r="C101">
        <v>-113</v>
      </c>
      <c r="D10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718B-9784-A44F-B04A-D5E418F6A92C}">
  <sheetPr codeName="Sheet7">
    <tabColor rgb="FFFFFF00"/>
  </sheetPr>
  <dimension ref="A1:I51"/>
  <sheetViews>
    <sheetView topLeftCell="A14" workbookViewId="0">
      <selection activeCell="I1" sqref="I1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13</v>
      </c>
      <c r="H1" t="s">
        <v>10</v>
      </c>
      <c r="I1" t="s">
        <v>9</v>
      </c>
    </row>
    <row r="2" spans="1:9" x14ac:dyDescent="0.2">
      <c r="A2" s="1">
        <v>1801894923</v>
      </c>
      <c r="B2" s="1" t="s">
        <v>0</v>
      </c>
      <c r="C2" s="1" t="s">
        <v>1</v>
      </c>
      <c r="D2" s="1">
        <v>200</v>
      </c>
      <c r="E2" s="1">
        <v>2</v>
      </c>
      <c r="F2" s="1">
        <v>1</v>
      </c>
      <c r="G2" s="1">
        <v>1783001895.58706</v>
      </c>
      <c r="H2" s="1">
        <v>-138</v>
      </c>
      <c r="I2" s="1">
        <v>-14</v>
      </c>
    </row>
    <row r="3" spans="1:9" x14ac:dyDescent="0.2">
      <c r="A3" s="1">
        <v>3615723532</v>
      </c>
      <c r="B3" s="1" t="s">
        <v>0</v>
      </c>
      <c r="C3" s="1" t="s">
        <v>1</v>
      </c>
      <c r="D3" s="1">
        <v>200</v>
      </c>
      <c r="E3" s="1">
        <v>2</v>
      </c>
      <c r="F3" s="1">
        <v>2</v>
      </c>
      <c r="G3" s="1">
        <v>1783001955.7074299</v>
      </c>
      <c r="H3" s="1">
        <v>-140</v>
      </c>
      <c r="I3" s="1">
        <v>-14.75</v>
      </c>
    </row>
    <row r="4" spans="1:9" x14ac:dyDescent="0.2">
      <c r="A4" s="1">
        <v>28907533</v>
      </c>
      <c r="B4" s="1" t="s">
        <v>0</v>
      </c>
      <c r="C4" s="1" t="s">
        <v>1</v>
      </c>
      <c r="D4" s="1">
        <v>204</v>
      </c>
      <c r="E4" s="1">
        <v>1</v>
      </c>
      <c r="F4" s="1">
        <v>3</v>
      </c>
      <c r="G4" s="1">
        <v>1783002015.82657</v>
      </c>
      <c r="H4" s="1">
        <v>-145</v>
      </c>
      <c r="I4" s="1">
        <v>-19.5</v>
      </c>
    </row>
    <row r="5" spans="1:9" x14ac:dyDescent="0.2">
      <c r="A5" s="1">
        <v>1153120270</v>
      </c>
      <c r="B5" s="1" t="s">
        <v>0</v>
      </c>
      <c r="C5" s="1" t="s">
        <v>1</v>
      </c>
      <c r="D5" s="1">
        <v>200</v>
      </c>
      <c r="E5" s="1">
        <v>2</v>
      </c>
      <c r="F5" s="1">
        <v>4</v>
      </c>
      <c r="G5" s="1">
        <v>1783002075.9370601</v>
      </c>
      <c r="H5" s="1">
        <v>-138</v>
      </c>
      <c r="I5" s="1">
        <v>-14</v>
      </c>
    </row>
    <row r="6" spans="1:9" x14ac:dyDescent="0.2">
      <c r="A6" s="1">
        <v>3516863503</v>
      </c>
      <c r="B6" s="1" t="s">
        <v>0</v>
      </c>
      <c r="C6" s="1" t="s">
        <v>1</v>
      </c>
      <c r="D6" s="1">
        <v>200</v>
      </c>
      <c r="E6" s="1">
        <v>2</v>
      </c>
      <c r="F6" s="1">
        <v>5</v>
      </c>
      <c r="G6" s="1">
        <v>1783002136.05686</v>
      </c>
      <c r="H6" s="1">
        <v>-140</v>
      </c>
      <c r="I6" s="1">
        <v>-16</v>
      </c>
    </row>
    <row r="7" spans="1:9" x14ac:dyDescent="0.2">
      <c r="A7" s="1">
        <v>3414279184</v>
      </c>
      <c r="B7" s="1" t="s">
        <v>0</v>
      </c>
      <c r="C7" s="1" t="s">
        <v>1</v>
      </c>
      <c r="D7" s="1">
        <v>200</v>
      </c>
      <c r="E7" s="1">
        <v>2</v>
      </c>
      <c r="F7" s="1">
        <v>6</v>
      </c>
      <c r="G7" s="1">
        <v>1783002196.17489</v>
      </c>
      <c r="H7" s="1">
        <v>-140</v>
      </c>
      <c r="I7" s="1">
        <v>-15.25</v>
      </c>
    </row>
    <row r="8" spans="1:9" x14ac:dyDescent="0.2">
      <c r="A8" s="1">
        <v>1281884177</v>
      </c>
      <c r="B8" s="1" t="s">
        <v>0</v>
      </c>
      <c r="C8" s="1" t="s">
        <v>1</v>
      </c>
      <c r="D8" s="1">
        <v>200</v>
      </c>
      <c r="E8" s="1">
        <v>2</v>
      </c>
      <c r="F8" s="1">
        <v>7</v>
      </c>
      <c r="G8" s="1">
        <v>1783002256.2952099</v>
      </c>
      <c r="H8" s="1">
        <v>-138</v>
      </c>
      <c r="I8" s="1">
        <v>-12.75</v>
      </c>
    </row>
    <row r="9" spans="1:9" x14ac:dyDescent="0.2">
      <c r="A9" s="1">
        <v>3002419218</v>
      </c>
      <c r="B9" s="1" t="s">
        <v>0</v>
      </c>
      <c r="C9" s="1" t="s">
        <v>1</v>
      </c>
      <c r="D9" s="1">
        <v>200</v>
      </c>
      <c r="E9" s="1">
        <v>2</v>
      </c>
      <c r="F9" s="1">
        <v>8</v>
      </c>
      <c r="G9" s="1">
        <v>1783002316.41838</v>
      </c>
      <c r="H9" s="1">
        <v>-141</v>
      </c>
      <c r="I9" s="1">
        <v>-16</v>
      </c>
    </row>
    <row r="10" spans="1:9" x14ac:dyDescent="0.2">
      <c r="A10" s="1">
        <v>1881288723</v>
      </c>
      <c r="B10" s="1" t="s">
        <v>0</v>
      </c>
      <c r="C10" s="1" t="s">
        <v>1</v>
      </c>
      <c r="D10" s="1">
        <v>200</v>
      </c>
      <c r="E10" s="1">
        <v>2</v>
      </c>
      <c r="F10" s="1">
        <v>9</v>
      </c>
      <c r="G10" s="1">
        <v>1783002376.53177</v>
      </c>
      <c r="H10" s="1">
        <v>-139</v>
      </c>
      <c r="I10" s="1">
        <v>-13.5</v>
      </c>
    </row>
    <row r="11" spans="1:9" x14ac:dyDescent="0.2">
      <c r="A11" s="1">
        <v>3691296788</v>
      </c>
      <c r="B11" s="1" t="s">
        <v>0</v>
      </c>
      <c r="C11" s="1" t="s">
        <v>1</v>
      </c>
      <c r="D11" s="1">
        <v>200</v>
      </c>
      <c r="E11" s="1">
        <v>2</v>
      </c>
      <c r="F11" s="1">
        <v>10</v>
      </c>
      <c r="G11" s="1">
        <v>1783002436.65291</v>
      </c>
      <c r="H11" s="1">
        <v>-138</v>
      </c>
      <c r="I11" s="1">
        <v>-12.5</v>
      </c>
    </row>
    <row r="12" spans="1:9" x14ac:dyDescent="0.2">
      <c r="A12" s="1">
        <v>2849300501</v>
      </c>
      <c r="B12" s="1" t="s">
        <v>0</v>
      </c>
      <c r="C12" s="1" t="s">
        <v>1</v>
      </c>
      <c r="D12" s="1">
        <v>200</v>
      </c>
      <c r="E12" s="1">
        <v>2</v>
      </c>
      <c r="F12" s="1">
        <v>11</v>
      </c>
      <c r="G12" s="1">
        <v>1783002496.7697899</v>
      </c>
      <c r="H12" s="1">
        <v>-139</v>
      </c>
      <c r="I12" s="1">
        <v>-14.5</v>
      </c>
    </row>
    <row r="13" spans="1:9" x14ac:dyDescent="0.2">
      <c r="A13" s="1">
        <v>3123426326</v>
      </c>
      <c r="B13" s="1" t="s">
        <v>0</v>
      </c>
      <c r="C13" s="1" t="s">
        <v>1</v>
      </c>
      <c r="D13" s="1">
        <v>204</v>
      </c>
      <c r="E13" s="1">
        <v>1</v>
      </c>
      <c r="F13" s="1">
        <v>12</v>
      </c>
      <c r="G13" s="1">
        <v>1783002556.8726599</v>
      </c>
      <c r="H13" s="1">
        <v>-146</v>
      </c>
      <c r="I13" s="1">
        <v>-20.75</v>
      </c>
    </row>
    <row r="14" spans="1:9" x14ac:dyDescent="0.2">
      <c r="A14" s="1">
        <v>1000510487</v>
      </c>
      <c r="B14" s="1" t="s">
        <v>0</v>
      </c>
      <c r="C14" s="1" t="s">
        <v>1</v>
      </c>
      <c r="D14" s="1">
        <v>200</v>
      </c>
      <c r="E14" s="1">
        <v>2</v>
      </c>
      <c r="F14" s="1">
        <v>13</v>
      </c>
      <c r="G14" s="1">
        <v>1783002616.9834299</v>
      </c>
      <c r="H14" s="1">
        <v>-139</v>
      </c>
      <c r="I14" s="1">
        <v>-13.5</v>
      </c>
    </row>
    <row r="15" spans="1:9" x14ac:dyDescent="0.2">
      <c r="A15" s="1">
        <v>3512696856</v>
      </c>
      <c r="B15" s="1" t="s">
        <v>0</v>
      </c>
      <c r="C15" s="1" t="s">
        <v>1</v>
      </c>
      <c r="D15" s="1">
        <v>200</v>
      </c>
      <c r="E15" s="1">
        <v>2</v>
      </c>
      <c r="F15" s="1">
        <v>14</v>
      </c>
      <c r="G15" s="1">
        <v>1783002677.089</v>
      </c>
      <c r="H15" s="1">
        <v>-136</v>
      </c>
      <c r="I15" s="1">
        <v>-12</v>
      </c>
    </row>
    <row r="16" spans="1:9" x14ac:dyDescent="0.2">
      <c r="A16" s="1">
        <v>776255513</v>
      </c>
      <c r="B16" s="1" t="s">
        <v>0</v>
      </c>
      <c r="C16" s="1" t="s">
        <v>1</v>
      </c>
      <c r="D16" s="1">
        <v>200</v>
      </c>
      <c r="E16" s="1">
        <v>2</v>
      </c>
      <c r="F16" s="1">
        <v>15</v>
      </c>
      <c r="G16" s="1">
        <v>1783002737.21031</v>
      </c>
      <c r="H16" s="1">
        <v>-140</v>
      </c>
      <c r="I16" s="1">
        <v>-15.25</v>
      </c>
    </row>
    <row r="17" spans="1:9" x14ac:dyDescent="0.2">
      <c r="A17" s="1">
        <v>2472154138</v>
      </c>
      <c r="B17" s="1" t="s">
        <v>0</v>
      </c>
      <c r="C17" s="1" t="s">
        <v>1</v>
      </c>
      <c r="D17" s="1">
        <v>200</v>
      </c>
      <c r="E17" s="1">
        <v>2</v>
      </c>
      <c r="F17" s="1">
        <v>16</v>
      </c>
      <c r="G17" s="1">
        <v>1783002797.3218701</v>
      </c>
      <c r="H17" s="1">
        <v>-142</v>
      </c>
      <c r="I17" s="1">
        <v>-17.75</v>
      </c>
    </row>
    <row r="18" spans="1:9" x14ac:dyDescent="0.2">
      <c r="A18" s="1">
        <v>2106106907</v>
      </c>
      <c r="B18" s="1" t="s">
        <v>0</v>
      </c>
      <c r="C18" s="1" t="s">
        <v>1</v>
      </c>
      <c r="D18" s="1">
        <v>200</v>
      </c>
      <c r="E18" s="1">
        <v>2</v>
      </c>
      <c r="F18" s="1">
        <v>17</v>
      </c>
      <c r="G18" s="1">
        <v>1783002857.4382701</v>
      </c>
      <c r="H18" s="1">
        <v>-137</v>
      </c>
      <c r="I18" s="1">
        <v>-12.75</v>
      </c>
    </row>
    <row r="19" spans="1:9" x14ac:dyDescent="0.2">
      <c r="A19" s="1">
        <v>87720988</v>
      </c>
      <c r="B19" s="1" t="s">
        <v>0</v>
      </c>
      <c r="C19" s="1" t="s">
        <v>1</v>
      </c>
      <c r="D19" s="1">
        <v>200</v>
      </c>
      <c r="E19" s="1">
        <v>2</v>
      </c>
      <c r="F19" s="1">
        <v>18</v>
      </c>
      <c r="G19" s="1">
        <v>1783002917.5569999</v>
      </c>
      <c r="H19" s="1">
        <v>-139</v>
      </c>
      <c r="I19" s="1">
        <v>-13.5</v>
      </c>
    </row>
    <row r="20" spans="1:9" x14ac:dyDescent="0.2">
      <c r="A20" s="1">
        <v>3391021085</v>
      </c>
      <c r="B20" s="1" t="s">
        <v>0</v>
      </c>
      <c r="C20" s="1" t="s">
        <v>1</v>
      </c>
      <c r="D20" s="1">
        <v>200</v>
      </c>
      <c r="E20" s="1">
        <v>2</v>
      </c>
      <c r="F20" s="1">
        <v>19</v>
      </c>
      <c r="G20" s="1">
        <v>1783002977.6712101</v>
      </c>
      <c r="H20" s="1">
        <v>-140</v>
      </c>
      <c r="I20" s="1">
        <v>-16.25</v>
      </c>
    </row>
    <row r="21" spans="1:9" x14ac:dyDescent="0.2">
      <c r="A21" s="1">
        <v>3876613150</v>
      </c>
      <c r="B21" s="1" t="s">
        <v>0</v>
      </c>
      <c r="C21" s="1" t="s">
        <v>1</v>
      </c>
      <c r="D21" s="1">
        <v>200</v>
      </c>
      <c r="E21" s="1">
        <v>2</v>
      </c>
      <c r="F21" s="1">
        <v>20</v>
      </c>
      <c r="G21" s="1">
        <v>1783003037.7876799</v>
      </c>
      <c r="H21" s="1">
        <v>-140</v>
      </c>
      <c r="I21" s="1">
        <v>-16.25</v>
      </c>
    </row>
    <row r="22" spans="1:9" x14ac:dyDescent="0.2">
      <c r="A22" s="1">
        <v>2840409119</v>
      </c>
      <c r="B22" s="1" t="s">
        <v>0</v>
      </c>
      <c r="C22" s="1" t="s">
        <v>1</v>
      </c>
      <c r="D22" s="1">
        <v>200</v>
      </c>
      <c r="E22" s="1">
        <v>2</v>
      </c>
      <c r="F22" s="1">
        <v>21</v>
      </c>
      <c r="G22" s="1">
        <v>1783003097.89147</v>
      </c>
      <c r="H22" s="1">
        <v>-142</v>
      </c>
      <c r="I22" s="1">
        <v>-16.5</v>
      </c>
    </row>
    <row r="23" spans="1:9" x14ac:dyDescent="0.2">
      <c r="A23" s="1">
        <v>1189599264</v>
      </c>
      <c r="B23" s="1" t="s">
        <v>0</v>
      </c>
      <c r="C23" s="1" t="s">
        <v>1</v>
      </c>
      <c r="D23" s="1">
        <v>200</v>
      </c>
      <c r="E23" s="1">
        <v>2</v>
      </c>
      <c r="F23" s="1">
        <v>22</v>
      </c>
      <c r="G23" s="1">
        <v>1783003157.9979701</v>
      </c>
      <c r="H23" s="1">
        <v>-139</v>
      </c>
      <c r="I23" s="1">
        <v>-14.25</v>
      </c>
    </row>
    <row r="24" spans="1:9" x14ac:dyDescent="0.2">
      <c r="A24" s="1">
        <v>1774390305</v>
      </c>
      <c r="B24" s="1" t="s">
        <v>0</v>
      </c>
      <c r="C24" s="1" t="s">
        <v>1</v>
      </c>
      <c r="D24" s="1">
        <v>200</v>
      </c>
      <c r="E24" s="1">
        <v>2</v>
      </c>
      <c r="F24" s="1">
        <v>23</v>
      </c>
      <c r="G24" s="1">
        <v>1783003218.1205101</v>
      </c>
      <c r="H24" s="1">
        <v>-141</v>
      </c>
      <c r="I24" s="1">
        <v>-15.5</v>
      </c>
    </row>
    <row r="25" spans="1:9" x14ac:dyDescent="0.2">
      <c r="A25" s="1">
        <v>1042233378</v>
      </c>
      <c r="B25" s="1" t="s">
        <v>0</v>
      </c>
      <c r="C25" s="1" t="s">
        <v>1</v>
      </c>
      <c r="D25" s="1">
        <v>200</v>
      </c>
      <c r="E25" s="1">
        <v>2</v>
      </c>
      <c r="F25" s="1">
        <v>24</v>
      </c>
      <c r="G25" s="1">
        <v>1783003278.2411001</v>
      </c>
      <c r="H25" s="1">
        <v>-138</v>
      </c>
      <c r="I25" s="1">
        <v>-14</v>
      </c>
    </row>
    <row r="26" spans="1:9" x14ac:dyDescent="0.2">
      <c r="A26" s="1">
        <v>766979107</v>
      </c>
      <c r="B26" s="1" t="s">
        <v>0</v>
      </c>
      <c r="C26" s="1" t="s">
        <v>1</v>
      </c>
      <c r="D26" s="1">
        <v>200</v>
      </c>
      <c r="E26" s="1">
        <v>2</v>
      </c>
      <c r="F26" s="1">
        <v>25</v>
      </c>
      <c r="G26" s="1">
        <v>1783003338.35307</v>
      </c>
      <c r="H26" s="1">
        <v>-141</v>
      </c>
      <c r="I26" s="1">
        <v>-15.5</v>
      </c>
    </row>
    <row r="27" spans="1:9" x14ac:dyDescent="0.2">
      <c r="A27" s="1">
        <v>2956764196</v>
      </c>
      <c r="B27" s="1" t="s">
        <v>0</v>
      </c>
      <c r="C27" s="1" t="s">
        <v>1</v>
      </c>
      <c r="D27" s="1">
        <v>200</v>
      </c>
      <c r="E27" s="1">
        <v>2</v>
      </c>
      <c r="F27" s="1">
        <v>26</v>
      </c>
      <c r="G27" s="1">
        <v>1783003398.4649301</v>
      </c>
      <c r="H27" s="1">
        <v>-138</v>
      </c>
      <c r="I27" s="1">
        <v>-14</v>
      </c>
    </row>
    <row r="28" spans="1:9" x14ac:dyDescent="0.2">
      <c r="A28" s="1">
        <v>965088293</v>
      </c>
      <c r="B28" s="1" t="s">
        <v>0</v>
      </c>
      <c r="C28" s="1" t="s">
        <v>1</v>
      </c>
      <c r="D28" s="1">
        <v>200</v>
      </c>
      <c r="E28" s="1">
        <v>2</v>
      </c>
      <c r="F28" s="1">
        <v>27</v>
      </c>
      <c r="G28" s="1">
        <v>1783003458.5692899</v>
      </c>
      <c r="H28" s="1">
        <v>-140</v>
      </c>
      <c r="I28" s="1">
        <v>-14.75</v>
      </c>
    </row>
    <row r="29" spans="1:9" x14ac:dyDescent="0.2">
      <c r="A29" s="1">
        <v>1916427302</v>
      </c>
      <c r="B29" s="1" t="s">
        <v>0</v>
      </c>
      <c r="C29" s="1" t="s">
        <v>1</v>
      </c>
      <c r="D29" s="1">
        <v>200</v>
      </c>
      <c r="E29" s="1">
        <v>2</v>
      </c>
      <c r="F29" s="1">
        <v>28</v>
      </c>
      <c r="G29" s="1">
        <v>1783003518.7999799</v>
      </c>
      <c r="H29" s="1">
        <v>-140</v>
      </c>
      <c r="I29" s="1">
        <v>-14.75</v>
      </c>
    </row>
    <row r="30" spans="1:9" x14ac:dyDescent="0.2">
      <c r="A30" s="1">
        <v>3137561639</v>
      </c>
      <c r="B30" s="1" t="s">
        <v>0</v>
      </c>
      <c r="C30" s="1" t="s">
        <v>1</v>
      </c>
      <c r="D30" s="1">
        <v>200</v>
      </c>
      <c r="E30" s="1">
        <v>2</v>
      </c>
      <c r="F30" s="1">
        <v>29</v>
      </c>
      <c r="G30" s="1">
        <v>1783003578.91821</v>
      </c>
      <c r="H30" s="1">
        <v>-140</v>
      </c>
      <c r="I30" s="1">
        <v>-15.25</v>
      </c>
    </row>
    <row r="31" spans="1:9" x14ac:dyDescent="0.2">
      <c r="A31" s="1">
        <v>258115624</v>
      </c>
      <c r="B31" s="1" t="s">
        <v>0</v>
      </c>
      <c r="C31" s="1" t="s">
        <v>1</v>
      </c>
      <c r="D31" s="1">
        <v>200</v>
      </c>
      <c r="E31" s="1">
        <v>2</v>
      </c>
      <c r="F31" s="1">
        <v>30</v>
      </c>
      <c r="G31" s="1">
        <v>1783003639.0332799</v>
      </c>
      <c r="H31" s="1">
        <v>-140</v>
      </c>
      <c r="I31" s="1">
        <v>-14.5</v>
      </c>
    </row>
    <row r="32" spans="1:9" x14ac:dyDescent="0.2">
      <c r="A32" s="1">
        <v>372924457</v>
      </c>
      <c r="B32" s="1" t="s">
        <v>0</v>
      </c>
      <c r="C32" s="1" t="s">
        <v>1</v>
      </c>
      <c r="D32" s="1">
        <v>200</v>
      </c>
      <c r="E32" s="1">
        <v>2</v>
      </c>
      <c r="F32" s="1">
        <v>31</v>
      </c>
      <c r="G32" s="1">
        <v>1783003699.1483099</v>
      </c>
      <c r="H32" s="1">
        <v>-140</v>
      </c>
      <c r="I32" s="1">
        <v>-14.5</v>
      </c>
    </row>
    <row r="33" spans="1:9" x14ac:dyDescent="0.2">
      <c r="A33" s="1">
        <v>2616523818</v>
      </c>
      <c r="B33" s="1" t="s">
        <v>0</v>
      </c>
      <c r="C33" s="1" t="s">
        <v>1</v>
      </c>
      <c r="D33" s="1">
        <v>200</v>
      </c>
      <c r="E33" s="1">
        <v>2</v>
      </c>
      <c r="F33" s="1">
        <v>32</v>
      </c>
      <c r="G33" s="1">
        <v>1783003759.26387</v>
      </c>
      <c r="H33" s="1">
        <v>-139</v>
      </c>
      <c r="I33" s="1">
        <v>-14.75</v>
      </c>
    </row>
    <row r="34" spans="1:9" x14ac:dyDescent="0.2">
      <c r="A34" s="1">
        <v>2073766955</v>
      </c>
      <c r="B34" s="1" t="s">
        <v>0</v>
      </c>
      <c r="C34" s="1" t="s">
        <v>1</v>
      </c>
      <c r="D34" s="1">
        <v>200</v>
      </c>
      <c r="E34" s="1">
        <v>2</v>
      </c>
      <c r="F34" s="1">
        <v>33</v>
      </c>
      <c r="G34" s="1">
        <v>1783003819.38641</v>
      </c>
      <c r="H34" s="1">
        <v>-138</v>
      </c>
      <c r="I34" s="1">
        <v>-13.25</v>
      </c>
    </row>
    <row r="35" spans="1:9" x14ac:dyDescent="0.2">
      <c r="A35" s="1">
        <v>2996768812</v>
      </c>
      <c r="B35" s="1" t="s">
        <v>0</v>
      </c>
      <c r="C35" s="1" t="s">
        <v>1</v>
      </c>
      <c r="D35" s="1">
        <v>200</v>
      </c>
      <c r="E35" s="1">
        <v>2</v>
      </c>
      <c r="F35" s="1">
        <v>34</v>
      </c>
      <c r="G35" s="1">
        <v>1783003879.50173</v>
      </c>
      <c r="H35" s="1">
        <v>-139</v>
      </c>
      <c r="I35" s="1">
        <v>-15.25</v>
      </c>
    </row>
    <row r="36" spans="1:9" x14ac:dyDescent="0.2">
      <c r="A36" s="1">
        <v>2050375725</v>
      </c>
      <c r="B36" s="1" t="s">
        <v>0</v>
      </c>
      <c r="C36" s="1" t="s">
        <v>1</v>
      </c>
      <c r="D36" s="1">
        <v>200</v>
      </c>
      <c r="E36" s="1">
        <v>2</v>
      </c>
      <c r="F36" s="1">
        <v>35</v>
      </c>
      <c r="G36" s="1">
        <v>1783003939.6252401</v>
      </c>
      <c r="H36" s="1">
        <v>-142</v>
      </c>
      <c r="I36" s="1">
        <v>-16.5</v>
      </c>
    </row>
    <row r="37" spans="1:9" x14ac:dyDescent="0.2">
      <c r="A37" s="1">
        <v>2602861614</v>
      </c>
      <c r="B37" s="1" t="s">
        <v>0</v>
      </c>
      <c r="C37" s="1" t="s">
        <v>1</v>
      </c>
      <c r="D37" s="1">
        <v>200</v>
      </c>
      <c r="E37" s="1">
        <v>2</v>
      </c>
      <c r="F37" s="1">
        <v>36</v>
      </c>
      <c r="G37" s="1">
        <v>1783003999.7476699</v>
      </c>
      <c r="H37" s="1">
        <v>-141</v>
      </c>
      <c r="I37" s="1">
        <v>-16</v>
      </c>
    </row>
    <row r="38" spans="1:9" x14ac:dyDescent="0.2">
      <c r="A38" s="1">
        <v>3950203951</v>
      </c>
      <c r="B38" s="1" t="s">
        <v>0</v>
      </c>
      <c r="C38" s="1" t="s">
        <v>1</v>
      </c>
      <c r="D38" s="1">
        <v>200</v>
      </c>
      <c r="E38" s="1">
        <v>2</v>
      </c>
      <c r="F38" s="1">
        <v>37</v>
      </c>
      <c r="G38" s="1">
        <v>1783004059.8694</v>
      </c>
      <c r="H38" s="1">
        <v>-141</v>
      </c>
      <c r="I38" s="1">
        <v>-15.75</v>
      </c>
    </row>
    <row r="39" spans="1:9" x14ac:dyDescent="0.2">
      <c r="A39" s="1">
        <v>1916310576</v>
      </c>
      <c r="B39" s="1" t="s">
        <v>0</v>
      </c>
      <c r="C39" s="1" t="s">
        <v>1</v>
      </c>
      <c r="D39" s="1">
        <v>200</v>
      </c>
      <c r="E39" s="1">
        <v>2</v>
      </c>
      <c r="F39" s="1">
        <v>38</v>
      </c>
      <c r="G39" s="1">
        <v>1783004119.9828701</v>
      </c>
      <c r="H39" s="1">
        <v>-142</v>
      </c>
      <c r="I39" s="1">
        <v>-16.5</v>
      </c>
    </row>
    <row r="40" spans="1:9" x14ac:dyDescent="0.2">
      <c r="A40" s="1">
        <v>3273699377</v>
      </c>
      <c r="B40" s="1" t="s">
        <v>0</v>
      </c>
      <c r="C40" s="1" t="s">
        <v>1</v>
      </c>
      <c r="D40" s="1">
        <v>200</v>
      </c>
      <c r="E40" s="1">
        <v>2</v>
      </c>
      <c r="F40" s="1">
        <v>39</v>
      </c>
      <c r="G40" s="1">
        <v>1783004180.0982399</v>
      </c>
      <c r="H40" s="1">
        <v>-140</v>
      </c>
      <c r="I40" s="1">
        <v>-15.5</v>
      </c>
    </row>
    <row r="41" spans="1:9" x14ac:dyDescent="0.2">
      <c r="A41" s="1">
        <v>2357293106</v>
      </c>
      <c r="B41" s="1" t="s">
        <v>0</v>
      </c>
      <c r="C41" s="1" t="s">
        <v>1</v>
      </c>
      <c r="D41" s="1">
        <v>200</v>
      </c>
      <c r="E41" s="1">
        <v>2</v>
      </c>
      <c r="F41" s="1">
        <v>40</v>
      </c>
      <c r="G41" s="1">
        <v>1783004240.22385</v>
      </c>
      <c r="H41" s="1">
        <v>-140</v>
      </c>
      <c r="I41" s="1">
        <v>-14.5</v>
      </c>
    </row>
    <row r="42" spans="1:9" x14ac:dyDescent="0.2">
      <c r="A42" s="1">
        <v>3230034995</v>
      </c>
      <c r="B42" s="1" t="s">
        <v>0</v>
      </c>
      <c r="C42" s="1" t="s">
        <v>1</v>
      </c>
      <c r="D42" s="1">
        <v>200</v>
      </c>
      <c r="E42" s="1">
        <v>2</v>
      </c>
      <c r="F42" s="1">
        <v>41</v>
      </c>
      <c r="G42" s="1">
        <v>1783004300.3370399</v>
      </c>
      <c r="H42" s="1">
        <v>-140</v>
      </c>
      <c r="I42" s="1">
        <v>-14.5</v>
      </c>
    </row>
    <row r="43" spans="1:9" x14ac:dyDescent="0.2">
      <c r="A43" s="1">
        <v>3818102836</v>
      </c>
      <c r="B43" s="1" t="s">
        <v>0</v>
      </c>
      <c r="C43" s="1" t="s">
        <v>1</v>
      </c>
      <c r="D43" s="1">
        <v>200</v>
      </c>
      <c r="E43" s="1">
        <v>2</v>
      </c>
      <c r="F43" s="1">
        <v>42</v>
      </c>
      <c r="G43" s="1">
        <v>1783004360.4480801</v>
      </c>
      <c r="H43" s="1">
        <v>-140</v>
      </c>
      <c r="I43" s="1">
        <v>-14.75</v>
      </c>
    </row>
    <row r="44" spans="1:9" x14ac:dyDescent="0.2">
      <c r="A44" s="1">
        <v>1613367349</v>
      </c>
      <c r="B44" s="1" t="s">
        <v>0</v>
      </c>
      <c r="C44" s="1" t="s">
        <v>1</v>
      </c>
      <c r="D44" s="1">
        <v>200</v>
      </c>
      <c r="E44" s="1">
        <v>2</v>
      </c>
      <c r="F44" s="1">
        <v>43</v>
      </c>
      <c r="G44" s="1">
        <v>1783004420.5617299</v>
      </c>
      <c r="H44" s="1">
        <v>-141</v>
      </c>
      <c r="I44" s="1">
        <v>-15.75</v>
      </c>
    </row>
    <row r="45" spans="1:9" x14ac:dyDescent="0.2">
      <c r="A45" s="1">
        <v>2663693366</v>
      </c>
      <c r="B45" s="1" t="s">
        <v>0</v>
      </c>
      <c r="C45" s="1" t="s">
        <v>1</v>
      </c>
      <c r="D45" s="1">
        <v>200</v>
      </c>
      <c r="E45" s="1">
        <v>2</v>
      </c>
      <c r="F45" s="1">
        <v>44</v>
      </c>
      <c r="G45" s="1">
        <v>1783004480.6807201</v>
      </c>
      <c r="H45" s="1">
        <v>-141</v>
      </c>
      <c r="I45" s="1">
        <v>-16.25</v>
      </c>
    </row>
    <row r="46" spans="1:9" x14ac:dyDescent="0.2">
      <c r="A46" s="1">
        <v>3875451959</v>
      </c>
      <c r="B46" s="1" t="s">
        <v>0</v>
      </c>
      <c r="C46" s="1" t="s">
        <v>1</v>
      </c>
      <c r="D46" s="1">
        <v>200</v>
      </c>
      <c r="E46" s="1">
        <v>2</v>
      </c>
      <c r="F46" s="1">
        <v>45</v>
      </c>
      <c r="G46" s="1">
        <v>1783004540.8027501</v>
      </c>
      <c r="H46" s="1">
        <v>-140</v>
      </c>
      <c r="I46" s="1">
        <v>-15.25</v>
      </c>
    </row>
    <row r="47" spans="1:9" x14ac:dyDescent="0.2">
      <c r="A47" s="1">
        <v>1936307256</v>
      </c>
      <c r="B47" s="1" t="s">
        <v>0</v>
      </c>
      <c r="C47" s="1" t="s">
        <v>1</v>
      </c>
      <c r="D47" s="1">
        <v>200</v>
      </c>
      <c r="E47" s="1">
        <v>2</v>
      </c>
      <c r="F47" s="1">
        <v>46</v>
      </c>
      <c r="G47" s="1">
        <v>1783004600.91926</v>
      </c>
      <c r="H47" s="1">
        <v>-139</v>
      </c>
      <c r="I47" s="1">
        <v>-14.75</v>
      </c>
    </row>
    <row r="48" spans="1:9" x14ac:dyDescent="0.2">
      <c r="A48" s="1">
        <v>2014859321</v>
      </c>
      <c r="B48" s="1" t="s">
        <v>0</v>
      </c>
      <c r="C48" s="1" t="s">
        <v>1</v>
      </c>
      <c r="D48" s="1">
        <v>200</v>
      </c>
      <c r="E48" s="1">
        <v>2</v>
      </c>
      <c r="F48" s="1">
        <v>47</v>
      </c>
      <c r="G48" s="1">
        <v>1783004661.0318999</v>
      </c>
      <c r="H48" s="1">
        <v>-138</v>
      </c>
      <c r="I48" s="1">
        <v>-14.75</v>
      </c>
    </row>
    <row r="49" spans="1:9" x14ac:dyDescent="0.2">
      <c r="A49" s="1">
        <v>2898022458</v>
      </c>
      <c r="B49" s="1" t="s">
        <v>0</v>
      </c>
      <c r="C49" s="1" t="s">
        <v>1</v>
      </c>
      <c r="D49" s="1">
        <v>200</v>
      </c>
      <c r="E49" s="1">
        <v>2</v>
      </c>
      <c r="F49" s="1">
        <v>48</v>
      </c>
      <c r="G49" s="1">
        <v>1783004721.1403301</v>
      </c>
      <c r="H49" s="1">
        <v>-140</v>
      </c>
      <c r="I49" s="1">
        <v>-15.25</v>
      </c>
    </row>
    <row r="50" spans="1:9" x14ac:dyDescent="0.2">
      <c r="A50" s="1">
        <v>2967190587</v>
      </c>
      <c r="B50" s="1" t="s">
        <v>0</v>
      </c>
      <c r="C50" s="1" t="s">
        <v>1</v>
      </c>
      <c r="D50" s="1">
        <v>200</v>
      </c>
      <c r="E50" s="1">
        <v>2</v>
      </c>
      <c r="F50" s="1">
        <v>49</v>
      </c>
      <c r="G50" s="1">
        <v>1783004781.2495699</v>
      </c>
      <c r="H50" s="1">
        <v>-138</v>
      </c>
      <c r="I50" s="1">
        <v>-14</v>
      </c>
    </row>
    <row r="51" spans="1:9" x14ac:dyDescent="0.2">
      <c r="A51" s="1">
        <v>4130425916</v>
      </c>
      <c r="B51" s="1" t="s">
        <v>0</v>
      </c>
      <c r="C51" s="1" t="s">
        <v>1</v>
      </c>
      <c r="D51" s="1">
        <v>99</v>
      </c>
      <c r="E51" s="1">
        <v>2</v>
      </c>
      <c r="F51" s="1">
        <v>50</v>
      </c>
      <c r="G51" s="1">
        <v>1783004841.36233</v>
      </c>
      <c r="H51" s="1">
        <v>-103</v>
      </c>
      <c r="I51" s="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7D47-5CD8-F042-88F5-4EA3EAF8258C}">
  <sheetPr codeName="Sheet8">
    <tabColor rgb="FFFFFF00"/>
  </sheetPr>
  <dimension ref="A1:D98"/>
  <sheetViews>
    <sheetView workbookViewId="0">
      <selection activeCell="L36" sqref="L36"/>
    </sheetView>
  </sheetViews>
  <sheetFormatPr baseColWidth="10" defaultRowHeight="16" x14ac:dyDescent="0.2"/>
  <sheetData>
    <row r="1" spans="1:4" x14ac:dyDescent="0.2">
      <c r="A1">
        <v>1801894923</v>
      </c>
      <c r="B1" s="2" t="s">
        <v>216</v>
      </c>
    </row>
    <row r="2" spans="1:4" x14ac:dyDescent="0.2">
      <c r="A2">
        <v>3615723532</v>
      </c>
      <c r="B2" s="2" t="s">
        <v>217</v>
      </c>
    </row>
    <row r="3" spans="1:4" x14ac:dyDescent="0.2">
      <c r="A3">
        <v>3615723532</v>
      </c>
      <c r="B3" s="2" t="s">
        <v>218</v>
      </c>
      <c r="C3">
        <v>-114</v>
      </c>
      <c r="D3">
        <v>7</v>
      </c>
    </row>
    <row r="4" spans="1:4" x14ac:dyDescent="0.2">
      <c r="A4">
        <v>28907533</v>
      </c>
      <c r="B4" s="2" t="s">
        <v>219</v>
      </c>
    </row>
    <row r="5" spans="1:4" x14ac:dyDescent="0.2">
      <c r="A5">
        <v>28907533</v>
      </c>
      <c r="B5">
        <v>1783002022.2012899</v>
      </c>
      <c r="C5">
        <v>-144</v>
      </c>
      <c r="D5">
        <v>-19.75</v>
      </c>
    </row>
    <row r="6" spans="1:4" x14ac:dyDescent="0.2">
      <c r="A6">
        <v>1153120270</v>
      </c>
      <c r="B6" s="2" t="s">
        <v>220</v>
      </c>
    </row>
    <row r="7" spans="1:4" x14ac:dyDescent="0.2">
      <c r="A7">
        <v>1153120270</v>
      </c>
      <c r="B7" s="2" t="s">
        <v>221</v>
      </c>
      <c r="C7">
        <v>-144</v>
      </c>
      <c r="D7">
        <v>-19.5</v>
      </c>
    </row>
    <row r="8" spans="1:4" x14ac:dyDescent="0.2">
      <c r="A8">
        <v>1486026959</v>
      </c>
      <c r="B8" s="2" t="s">
        <v>222</v>
      </c>
      <c r="C8">
        <v>-83</v>
      </c>
      <c r="D8">
        <v>10.5</v>
      </c>
    </row>
    <row r="9" spans="1:4" x14ac:dyDescent="0.2">
      <c r="A9">
        <v>3516863503</v>
      </c>
      <c r="B9" s="2" t="s">
        <v>223</v>
      </c>
    </row>
    <row r="10" spans="1:4" x14ac:dyDescent="0.2">
      <c r="A10">
        <v>3516863503</v>
      </c>
      <c r="B10" s="2" t="s">
        <v>224</v>
      </c>
      <c r="C10">
        <v>-113</v>
      </c>
      <c r="D10">
        <v>9</v>
      </c>
    </row>
    <row r="11" spans="1:4" x14ac:dyDescent="0.2">
      <c r="A11">
        <v>3414279184</v>
      </c>
      <c r="B11" s="2" t="s">
        <v>225</v>
      </c>
    </row>
    <row r="12" spans="1:4" x14ac:dyDescent="0.2">
      <c r="A12">
        <v>3414279184</v>
      </c>
      <c r="B12" s="2" t="s">
        <v>226</v>
      </c>
      <c r="C12">
        <v>-115</v>
      </c>
      <c r="D12">
        <v>6.25</v>
      </c>
    </row>
    <row r="13" spans="1:4" x14ac:dyDescent="0.2">
      <c r="A13">
        <v>1281884177</v>
      </c>
      <c r="B13" s="2" t="s">
        <v>227</v>
      </c>
    </row>
    <row r="14" spans="1:4" x14ac:dyDescent="0.2">
      <c r="A14">
        <v>1281884177</v>
      </c>
      <c r="B14" s="2" t="s">
        <v>228</v>
      </c>
      <c r="C14">
        <v>-116</v>
      </c>
      <c r="D14">
        <v>5.75</v>
      </c>
    </row>
    <row r="15" spans="1:4" x14ac:dyDescent="0.2">
      <c r="A15">
        <v>3002419218</v>
      </c>
      <c r="B15" s="2" t="s">
        <v>229</v>
      </c>
    </row>
    <row r="16" spans="1:4" x14ac:dyDescent="0.2">
      <c r="A16">
        <v>3002419218</v>
      </c>
      <c r="B16" s="2" t="s">
        <v>230</v>
      </c>
      <c r="C16">
        <v>-115</v>
      </c>
      <c r="D16">
        <v>7</v>
      </c>
    </row>
    <row r="17" spans="1:4" x14ac:dyDescent="0.2">
      <c r="A17">
        <v>1881288723</v>
      </c>
      <c r="B17" s="2" t="s">
        <v>231</v>
      </c>
    </row>
    <row r="18" spans="1:4" x14ac:dyDescent="0.2">
      <c r="A18">
        <v>1881288723</v>
      </c>
      <c r="B18" s="2" t="s">
        <v>232</v>
      </c>
      <c r="C18">
        <v>-113</v>
      </c>
      <c r="D18">
        <v>7.75</v>
      </c>
    </row>
    <row r="19" spans="1:4" x14ac:dyDescent="0.2">
      <c r="A19">
        <v>3691296788</v>
      </c>
      <c r="B19" s="2" t="s">
        <v>233</v>
      </c>
    </row>
    <row r="20" spans="1:4" x14ac:dyDescent="0.2">
      <c r="A20">
        <v>3691296788</v>
      </c>
      <c r="B20" s="2" t="s">
        <v>234</v>
      </c>
      <c r="C20">
        <v>-114</v>
      </c>
      <c r="D20">
        <v>6</v>
      </c>
    </row>
    <row r="21" spans="1:4" x14ac:dyDescent="0.2">
      <c r="A21">
        <v>2849300501</v>
      </c>
      <c r="B21">
        <v>1783002500.26127</v>
      </c>
    </row>
    <row r="22" spans="1:4" x14ac:dyDescent="0.2">
      <c r="A22">
        <v>2849300501</v>
      </c>
      <c r="B22" s="2" t="s">
        <v>235</v>
      </c>
      <c r="C22">
        <v>-113</v>
      </c>
      <c r="D22">
        <v>6.5</v>
      </c>
    </row>
    <row r="23" spans="1:4" x14ac:dyDescent="0.2">
      <c r="A23">
        <v>3123426326</v>
      </c>
      <c r="B23" s="2" t="s">
        <v>236</v>
      </c>
    </row>
    <row r="24" spans="1:4" x14ac:dyDescent="0.2">
      <c r="A24">
        <v>3123426326</v>
      </c>
      <c r="B24">
        <v>1783002566.57638</v>
      </c>
      <c r="C24">
        <v>-113</v>
      </c>
      <c r="D24">
        <v>7.25</v>
      </c>
    </row>
    <row r="25" spans="1:4" x14ac:dyDescent="0.2">
      <c r="A25">
        <v>1000510487</v>
      </c>
      <c r="B25" s="2" t="s">
        <v>237</v>
      </c>
    </row>
    <row r="26" spans="1:4" x14ac:dyDescent="0.2">
      <c r="A26">
        <v>1000510487</v>
      </c>
      <c r="B26">
        <v>1783002627.3413</v>
      </c>
      <c r="C26">
        <v>-113</v>
      </c>
      <c r="D26">
        <v>7</v>
      </c>
    </row>
    <row r="27" spans="1:4" x14ac:dyDescent="0.2">
      <c r="A27">
        <v>3512696856</v>
      </c>
      <c r="B27" s="2" t="s">
        <v>238</v>
      </c>
    </row>
    <row r="28" spans="1:4" x14ac:dyDescent="0.2">
      <c r="A28">
        <v>3512696856</v>
      </c>
      <c r="B28" s="2" t="s">
        <v>239</v>
      </c>
      <c r="C28">
        <v>-114</v>
      </c>
      <c r="D28">
        <v>6.75</v>
      </c>
    </row>
    <row r="29" spans="1:4" x14ac:dyDescent="0.2">
      <c r="A29">
        <v>776255513</v>
      </c>
      <c r="B29" s="2" t="s">
        <v>240</v>
      </c>
    </row>
    <row r="30" spans="1:4" x14ac:dyDescent="0.2">
      <c r="A30">
        <v>776255513</v>
      </c>
      <c r="B30" s="2" t="s">
        <v>241</v>
      </c>
      <c r="C30">
        <v>-144</v>
      </c>
      <c r="D30">
        <v>-20</v>
      </c>
    </row>
    <row r="31" spans="1:4" x14ac:dyDescent="0.2">
      <c r="A31">
        <v>2472154138</v>
      </c>
      <c r="B31" s="2" t="s">
        <v>242</v>
      </c>
    </row>
    <row r="32" spans="1:4" x14ac:dyDescent="0.2">
      <c r="A32">
        <v>2472154138</v>
      </c>
      <c r="B32" s="2" t="s">
        <v>243</v>
      </c>
      <c r="C32">
        <v>-144</v>
      </c>
      <c r="D32">
        <v>-20.25</v>
      </c>
    </row>
    <row r="33" spans="1:4" x14ac:dyDescent="0.2">
      <c r="A33">
        <v>2106106907</v>
      </c>
      <c r="B33" s="2" t="s">
        <v>244</v>
      </c>
    </row>
    <row r="34" spans="1:4" x14ac:dyDescent="0.2">
      <c r="A34">
        <v>2106106907</v>
      </c>
      <c r="B34" s="2" t="s">
        <v>245</v>
      </c>
      <c r="C34">
        <v>-143</v>
      </c>
      <c r="D34">
        <v>-19.25</v>
      </c>
    </row>
    <row r="35" spans="1:4" x14ac:dyDescent="0.2">
      <c r="A35">
        <v>87720988</v>
      </c>
      <c r="B35" s="2" t="s">
        <v>246</v>
      </c>
    </row>
    <row r="36" spans="1:4" x14ac:dyDescent="0.2">
      <c r="A36">
        <v>87720988</v>
      </c>
      <c r="B36">
        <v>1783002927.7934599</v>
      </c>
      <c r="C36">
        <v>-113</v>
      </c>
      <c r="D36">
        <v>6.75</v>
      </c>
    </row>
    <row r="37" spans="1:4" x14ac:dyDescent="0.2">
      <c r="A37">
        <v>3391021085</v>
      </c>
      <c r="B37" s="2" t="s">
        <v>247</v>
      </c>
    </row>
    <row r="38" spans="1:4" x14ac:dyDescent="0.2">
      <c r="A38">
        <v>3876613150</v>
      </c>
      <c r="B38" s="2" t="s">
        <v>248</v>
      </c>
    </row>
    <row r="39" spans="1:4" x14ac:dyDescent="0.2">
      <c r="A39">
        <v>3876613150</v>
      </c>
      <c r="B39" s="2" t="s">
        <v>249</v>
      </c>
      <c r="C39">
        <v>-114</v>
      </c>
      <c r="D39">
        <v>7.75</v>
      </c>
    </row>
    <row r="40" spans="1:4" x14ac:dyDescent="0.2">
      <c r="A40">
        <v>2840409119</v>
      </c>
      <c r="B40" s="2" t="s">
        <v>250</v>
      </c>
    </row>
    <row r="41" spans="1:4" x14ac:dyDescent="0.2">
      <c r="A41">
        <v>2840409119</v>
      </c>
      <c r="B41" s="2" t="s">
        <v>251</v>
      </c>
      <c r="C41">
        <v>-143</v>
      </c>
      <c r="D41">
        <v>-19.5</v>
      </c>
    </row>
    <row r="42" spans="1:4" x14ac:dyDescent="0.2">
      <c r="A42">
        <v>1189599264</v>
      </c>
      <c r="B42">
        <v>1783003162.9193799</v>
      </c>
    </row>
    <row r="43" spans="1:4" x14ac:dyDescent="0.2">
      <c r="A43">
        <v>1189599264</v>
      </c>
      <c r="B43" s="2" t="s">
        <v>252</v>
      </c>
      <c r="C43">
        <v>-114</v>
      </c>
      <c r="D43">
        <v>7.25</v>
      </c>
    </row>
    <row r="44" spans="1:4" x14ac:dyDescent="0.2">
      <c r="A44">
        <v>1774390305</v>
      </c>
      <c r="B44" s="2" t="s">
        <v>253</v>
      </c>
    </row>
    <row r="45" spans="1:4" x14ac:dyDescent="0.2">
      <c r="A45">
        <v>1774390305</v>
      </c>
      <c r="B45" s="2" t="s">
        <v>254</v>
      </c>
      <c r="C45">
        <v>-143</v>
      </c>
      <c r="D45">
        <v>-18.75</v>
      </c>
    </row>
    <row r="46" spans="1:4" x14ac:dyDescent="0.2">
      <c r="A46">
        <v>1042233378</v>
      </c>
      <c r="B46" s="2" t="s">
        <v>255</v>
      </c>
    </row>
    <row r="47" spans="1:4" x14ac:dyDescent="0.2">
      <c r="A47">
        <v>1042233378</v>
      </c>
      <c r="B47" s="2" t="s">
        <v>256</v>
      </c>
      <c r="C47">
        <v>-113</v>
      </c>
      <c r="D47">
        <v>7.5</v>
      </c>
    </row>
    <row r="48" spans="1:4" x14ac:dyDescent="0.2">
      <c r="A48">
        <v>766979107</v>
      </c>
      <c r="B48" s="2" t="s">
        <v>257</v>
      </c>
    </row>
    <row r="49" spans="1:4" x14ac:dyDescent="0.2">
      <c r="A49">
        <v>766979107</v>
      </c>
      <c r="B49" s="2" t="s">
        <v>258</v>
      </c>
      <c r="C49">
        <v>-143</v>
      </c>
      <c r="D49">
        <v>-18.75</v>
      </c>
    </row>
    <row r="50" spans="1:4" x14ac:dyDescent="0.2">
      <c r="A50">
        <v>2956764196</v>
      </c>
      <c r="B50" s="2" t="s">
        <v>259</v>
      </c>
    </row>
    <row r="51" spans="1:4" x14ac:dyDescent="0.2">
      <c r="A51">
        <v>2956764196</v>
      </c>
      <c r="B51" s="2" t="s">
        <v>260</v>
      </c>
      <c r="C51">
        <v>-144</v>
      </c>
      <c r="D51">
        <v>-19.5</v>
      </c>
    </row>
    <row r="52" spans="1:4" x14ac:dyDescent="0.2">
      <c r="A52">
        <v>965088293</v>
      </c>
      <c r="B52" s="2" t="s">
        <v>261</v>
      </c>
    </row>
    <row r="53" spans="1:4" x14ac:dyDescent="0.2">
      <c r="A53">
        <v>965088293</v>
      </c>
      <c r="B53" s="2" t="s">
        <v>262</v>
      </c>
      <c r="C53">
        <v>-114</v>
      </c>
      <c r="D53">
        <v>6.75</v>
      </c>
    </row>
    <row r="54" spans="1:4" x14ac:dyDescent="0.2">
      <c r="A54">
        <v>1916427302</v>
      </c>
      <c r="B54" s="2" t="s">
        <v>263</v>
      </c>
    </row>
    <row r="55" spans="1:4" x14ac:dyDescent="0.2">
      <c r="A55">
        <v>1916427302</v>
      </c>
      <c r="B55" s="2" t="s">
        <v>264</v>
      </c>
      <c r="C55">
        <v>-113</v>
      </c>
      <c r="D55">
        <v>8</v>
      </c>
    </row>
    <row r="56" spans="1:4" x14ac:dyDescent="0.2">
      <c r="A56">
        <v>3137561639</v>
      </c>
      <c r="B56" s="2" t="s">
        <v>265</v>
      </c>
    </row>
    <row r="57" spans="1:4" x14ac:dyDescent="0.2">
      <c r="A57">
        <v>3137561639</v>
      </c>
      <c r="B57" s="2" t="s">
        <v>266</v>
      </c>
      <c r="C57">
        <v>-145</v>
      </c>
      <c r="D57">
        <v>-19.75</v>
      </c>
    </row>
    <row r="58" spans="1:4" x14ac:dyDescent="0.2">
      <c r="A58">
        <v>258115624</v>
      </c>
      <c r="B58" s="2" t="s">
        <v>267</v>
      </c>
    </row>
    <row r="59" spans="1:4" x14ac:dyDescent="0.2">
      <c r="A59">
        <v>258115624</v>
      </c>
      <c r="B59">
        <v>1783003654.3670101</v>
      </c>
      <c r="C59">
        <v>-113</v>
      </c>
      <c r="D59">
        <v>7.25</v>
      </c>
    </row>
    <row r="60" spans="1:4" x14ac:dyDescent="0.2">
      <c r="A60">
        <v>372924457</v>
      </c>
      <c r="B60" s="2" t="s">
        <v>268</v>
      </c>
    </row>
    <row r="61" spans="1:4" x14ac:dyDescent="0.2">
      <c r="A61">
        <v>372924457</v>
      </c>
      <c r="B61" s="2" t="s">
        <v>269</v>
      </c>
      <c r="C61">
        <v>-116</v>
      </c>
      <c r="D61">
        <v>5</v>
      </c>
    </row>
    <row r="62" spans="1:4" x14ac:dyDescent="0.2">
      <c r="A62">
        <v>2616523818</v>
      </c>
      <c r="B62" s="2" t="s">
        <v>270</v>
      </c>
    </row>
    <row r="63" spans="1:4" x14ac:dyDescent="0.2">
      <c r="A63">
        <v>2616523818</v>
      </c>
      <c r="B63" s="2" t="s">
        <v>271</v>
      </c>
      <c r="C63">
        <v>-114</v>
      </c>
      <c r="D63">
        <v>6.75</v>
      </c>
    </row>
    <row r="64" spans="1:4" x14ac:dyDescent="0.2">
      <c r="A64">
        <v>2073766955</v>
      </c>
      <c r="B64" s="2" t="s">
        <v>272</v>
      </c>
    </row>
    <row r="65" spans="1:4" x14ac:dyDescent="0.2">
      <c r="A65">
        <v>2073766955</v>
      </c>
      <c r="B65" s="2" t="s">
        <v>273</v>
      </c>
      <c r="C65">
        <v>-114</v>
      </c>
      <c r="D65">
        <v>7.5</v>
      </c>
    </row>
    <row r="66" spans="1:4" x14ac:dyDescent="0.2">
      <c r="A66">
        <v>2996768812</v>
      </c>
      <c r="B66" s="2" t="s">
        <v>274</v>
      </c>
    </row>
    <row r="67" spans="1:4" x14ac:dyDescent="0.2">
      <c r="A67">
        <v>2996768812</v>
      </c>
      <c r="B67" s="2" t="s">
        <v>275</v>
      </c>
      <c r="C67">
        <v>-114</v>
      </c>
      <c r="D67">
        <v>7</v>
      </c>
    </row>
    <row r="68" spans="1:4" x14ac:dyDescent="0.2">
      <c r="A68">
        <v>2050375725</v>
      </c>
      <c r="B68" s="2" t="s">
        <v>276</v>
      </c>
    </row>
    <row r="69" spans="1:4" x14ac:dyDescent="0.2">
      <c r="A69">
        <v>2050375725</v>
      </c>
      <c r="B69" s="2" t="s">
        <v>277</v>
      </c>
      <c r="C69">
        <v>-144</v>
      </c>
      <c r="D69">
        <v>-19.5</v>
      </c>
    </row>
    <row r="70" spans="1:4" x14ac:dyDescent="0.2">
      <c r="A70">
        <v>2602861614</v>
      </c>
      <c r="B70" s="2" t="s">
        <v>278</v>
      </c>
    </row>
    <row r="71" spans="1:4" x14ac:dyDescent="0.2">
      <c r="A71">
        <v>2602861614</v>
      </c>
      <c r="B71" s="2" t="s">
        <v>279</v>
      </c>
      <c r="C71">
        <v>-113</v>
      </c>
      <c r="D71">
        <v>7.5</v>
      </c>
    </row>
    <row r="72" spans="1:4" x14ac:dyDescent="0.2">
      <c r="A72">
        <v>3950203951</v>
      </c>
      <c r="B72" s="2" t="s">
        <v>280</v>
      </c>
    </row>
    <row r="73" spans="1:4" x14ac:dyDescent="0.2">
      <c r="A73">
        <v>1916310576</v>
      </c>
      <c r="B73" s="2" t="s">
        <v>281</v>
      </c>
    </row>
    <row r="74" spans="1:4" x14ac:dyDescent="0.2">
      <c r="A74">
        <v>1916310576</v>
      </c>
      <c r="B74" s="2" t="s">
        <v>282</v>
      </c>
      <c r="C74">
        <v>-114</v>
      </c>
      <c r="D74">
        <v>8</v>
      </c>
    </row>
    <row r="75" spans="1:4" x14ac:dyDescent="0.2">
      <c r="A75">
        <v>3273699377</v>
      </c>
      <c r="B75" s="2" t="s">
        <v>283</v>
      </c>
    </row>
    <row r="76" spans="1:4" x14ac:dyDescent="0.2">
      <c r="A76">
        <v>3273699377</v>
      </c>
      <c r="B76" s="2" t="s">
        <v>284</v>
      </c>
      <c r="C76">
        <v>-144</v>
      </c>
      <c r="D76">
        <v>-20</v>
      </c>
    </row>
    <row r="77" spans="1:4" x14ac:dyDescent="0.2">
      <c r="A77">
        <v>2357293106</v>
      </c>
      <c r="B77" s="2" t="s">
        <v>285</v>
      </c>
    </row>
    <row r="78" spans="1:4" x14ac:dyDescent="0.2">
      <c r="A78">
        <v>2357293106</v>
      </c>
      <c r="B78" s="2" t="s">
        <v>286</v>
      </c>
      <c r="C78">
        <v>-113</v>
      </c>
      <c r="D78">
        <v>8.5</v>
      </c>
    </row>
    <row r="79" spans="1:4" x14ac:dyDescent="0.2">
      <c r="A79">
        <v>3230034995</v>
      </c>
      <c r="B79">
        <v>1783004304.1240499</v>
      </c>
    </row>
    <row r="80" spans="1:4" x14ac:dyDescent="0.2">
      <c r="A80">
        <v>3230034995</v>
      </c>
      <c r="B80" s="2" t="s">
        <v>287</v>
      </c>
      <c r="C80">
        <v>-146</v>
      </c>
      <c r="D80">
        <v>-20.5</v>
      </c>
    </row>
    <row r="81" spans="1:4" x14ac:dyDescent="0.2">
      <c r="A81">
        <v>3818102836</v>
      </c>
      <c r="B81" s="2" t="s">
        <v>288</v>
      </c>
    </row>
    <row r="82" spans="1:4" x14ac:dyDescent="0.2">
      <c r="A82">
        <v>3818102836</v>
      </c>
      <c r="B82" s="2" t="s">
        <v>289</v>
      </c>
      <c r="C82">
        <v>-114</v>
      </c>
      <c r="D82">
        <v>6.75</v>
      </c>
    </row>
    <row r="83" spans="1:4" x14ac:dyDescent="0.2">
      <c r="A83">
        <v>1613367349</v>
      </c>
      <c r="B83" s="2" t="s">
        <v>290</v>
      </c>
    </row>
    <row r="84" spans="1:4" x14ac:dyDescent="0.2">
      <c r="A84">
        <v>1613367349</v>
      </c>
      <c r="B84" s="2" t="s">
        <v>291</v>
      </c>
      <c r="C84">
        <v>-144</v>
      </c>
      <c r="D84">
        <v>-19.25</v>
      </c>
    </row>
    <row r="85" spans="1:4" x14ac:dyDescent="0.2">
      <c r="A85">
        <v>2663693366</v>
      </c>
      <c r="B85" s="2" t="s">
        <v>292</v>
      </c>
    </row>
    <row r="86" spans="1:4" x14ac:dyDescent="0.2">
      <c r="A86">
        <v>2663693366</v>
      </c>
      <c r="B86" s="2" t="s">
        <v>293</v>
      </c>
      <c r="C86">
        <v>-142</v>
      </c>
      <c r="D86">
        <v>-17</v>
      </c>
    </row>
    <row r="87" spans="1:4" x14ac:dyDescent="0.2">
      <c r="A87">
        <v>3875451959</v>
      </c>
      <c r="B87" s="2" t="s">
        <v>294</v>
      </c>
    </row>
    <row r="88" spans="1:4" x14ac:dyDescent="0.2">
      <c r="A88">
        <v>3875451959</v>
      </c>
      <c r="B88" s="2" t="s">
        <v>295</v>
      </c>
      <c r="C88">
        <v>-113</v>
      </c>
      <c r="D88">
        <v>8.75</v>
      </c>
    </row>
    <row r="89" spans="1:4" x14ac:dyDescent="0.2">
      <c r="A89">
        <v>1936307256</v>
      </c>
      <c r="B89">
        <v>1783004604.6447899</v>
      </c>
    </row>
    <row r="90" spans="1:4" x14ac:dyDescent="0.2">
      <c r="A90">
        <v>1936307256</v>
      </c>
      <c r="B90" s="2" t="s">
        <v>296</v>
      </c>
      <c r="C90">
        <v>-114</v>
      </c>
      <c r="D90">
        <v>7.25</v>
      </c>
    </row>
    <row r="91" spans="1:4" x14ac:dyDescent="0.2">
      <c r="A91">
        <v>2014859321</v>
      </c>
      <c r="B91" s="2" t="s">
        <v>297</v>
      </c>
    </row>
    <row r="92" spans="1:4" x14ac:dyDescent="0.2">
      <c r="A92">
        <v>2014859321</v>
      </c>
      <c r="B92" s="2" t="s">
        <v>298</v>
      </c>
      <c r="C92">
        <v>-115</v>
      </c>
      <c r="D92">
        <v>6</v>
      </c>
    </row>
    <row r="93" spans="1:4" x14ac:dyDescent="0.2">
      <c r="A93">
        <v>2898022458</v>
      </c>
      <c r="B93" s="2" t="s">
        <v>299</v>
      </c>
    </row>
    <row r="94" spans="1:4" x14ac:dyDescent="0.2">
      <c r="A94">
        <v>2898022458</v>
      </c>
      <c r="B94" s="2" t="s">
        <v>300</v>
      </c>
      <c r="C94">
        <v>-114</v>
      </c>
      <c r="D94">
        <v>7.25</v>
      </c>
    </row>
    <row r="95" spans="1:4" x14ac:dyDescent="0.2">
      <c r="A95">
        <v>2967190587</v>
      </c>
      <c r="B95" s="2" t="s">
        <v>301</v>
      </c>
    </row>
    <row r="96" spans="1:4" x14ac:dyDescent="0.2">
      <c r="A96">
        <v>2967190587</v>
      </c>
      <c r="B96" s="2" t="s">
        <v>302</v>
      </c>
      <c r="C96">
        <v>-113</v>
      </c>
      <c r="D96">
        <v>6.25</v>
      </c>
    </row>
    <row r="97" spans="1:4" x14ac:dyDescent="0.2">
      <c r="A97">
        <v>4130425916</v>
      </c>
      <c r="B97">
        <v>1783004845.2379401</v>
      </c>
    </row>
    <row r="98" spans="1:4" x14ac:dyDescent="0.2">
      <c r="A98">
        <v>4130425916</v>
      </c>
      <c r="B98" s="2" t="s">
        <v>303</v>
      </c>
      <c r="C98">
        <v>-113</v>
      </c>
      <c r="D98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EC8C-4880-1443-AA85-CF9AA97182D7}">
  <sheetPr>
    <tabColor rgb="FF92D050"/>
  </sheetPr>
  <dimension ref="A1:K39"/>
  <sheetViews>
    <sheetView workbookViewId="0">
      <selection activeCell="M18" sqref="M18"/>
    </sheetView>
  </sheetViews>
  <sheetFormatPr baseColWidth="10" defaultRowHeight="16" x14ac:dyDescent="0.2"/>
  <sheetData>
    <row r="1" spans="1:11" x14ac:dyDescent="0.2">
      <c r="A1">
        <v>2356606103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1783016329.08126</v>
      </c>
      <c r="H1" s="2" t="s">
        <v>344</v>
      </c>
      <c r="I1">
        <v>-139</v>
      </c>
      <c r="J1">
        <v>-15.5</v>
      </c>
      <c r="K1">
        <f>H1-G1</f>
        <v>6.3738601207733154</v>
      </c>
    </row>
    <row r="2" spans="1:11" x14ac:dyDescent="0.2">
      <c r="A2">
        <v>2917316760</v>
      </c>
      <c r="B2" t="s">
        <v>0</v>
      </c>
      <c r="C2" t="s">
        <v>1</v>
      </c>
      <c r="D2">
        <v>200</v>
      </c>
      <c r="E2">
        <v>2</v>
      </c>
      <c r="F2">
        <v>2</v>
      </c>
      <c r="G2" s="2">
        <v>1783016334.1893699</v>
      </c>
      <c r="H2" s="2" t="s">
        <v>346</v>
      </c>
      <c r="I2">
        <v>-136</v>
      </c>
      <c r="J2">
        <v>-12.75</v>
      </c>
      <c r="K2">
        <f t="shared" ref="K2:K39" si="0">H2-G2</f>
        <v>22.527270078659058</v>
      </c>
    </row>
    <row r="3" spans="1:11" x14ac:dyDescent="0.2">
      <c r="A3">
        <v>2939092121</v>
      </c>
      <c r="B3" t="s">
        <v>0</v>
      </c>
      <c r="C3" t="s">
        <v>1</v>
      </c>
      <c r="D3">
        <v>200</v>
      </c>
      <c r="E3">
        <v>2</v>
      </c>
      <c r="F3">
        <v>3</v>
      </c>
      <c r="G3" s="2">
        <v>1783016339.29984</v>
      </c>
      <c r="H3" s="2" t="s">
        <v>345</v>
      </c>
      <c r="I3">
        <v>-138</v>
      </c>
      <c r="J3">
        <v>-13</v>
      </c>
      <c r="K3">
        <f t="shared" si="0"/>
        <v>8.1392900943756104</v>
      </c>
    </row>
    <row r="4" spans="1:11" x14ac:dyDescent="0.2">
      <c r="A4">
        <v>4019089562</v>
      </c>
      <c r="B4" t="s">
        <v>0</v>
      </c>
      <c r="C4" t="s">
        <v>1</v>
      </c>
      <c r="D4">
        <v>200</v>
      </c>
      <c r="E4">
        <v>2</v>
      </c>
      <c r="F4">
        <v>4</v>
      </c>
      <c r="G4" s="2">
        <v>1783016344.4087601</v>
      </c>
      <c r="H4" s="2" t="s">
        <v>347</v>
      </c>
      <c r="I4">
        <v>-139</v>
      </c>
      <c r="J4">
        <v>-13.75</v>
      </c>
      <c r="K4">
        <f t="shared" si="0"/>
        <v>18.409629821777344</v>
      </c>
    </row>
    <row r="5" spans="1:11" x14ac:dyDescent="0.2">
      <c r="A5">
        <v>2159920284</v>
      </c>
      <c r="B5" t="s">
        <v>0</v>
      </c>
      <c r="C5" t="s">
        <v>1</v>
      </c>
      <c r="D5">
        <v>200</v>
      </c>
      <c r="E5">
        <v>2</v>
      </c>
      <c r="F5">
        <v>6</v>
      </c>
      <c r="G5">
        <v>1783016354.6284599</v>
      </c>
      <c r="H5">
        <v>1783016372.2155399</v>
      </c>
      <c r="I5">
        <v>-139</v>
      </c>
      <c r="J5">
        <v>-15</v>
      </c>
      <c r="K5">
        <f t="shared" si="0"/>
        <v>17.587080001831055</v>
      </c>
    </row>
    <row r="6" spans="1:11" x14ac:dyDescent="0.2">
      <c r="A6">
        <v>224053405</v>
      </c>
      <c r="B6" t="s">
        <v>0</v>
      </c>
      <c r="C6" t="s">
        <v>1</v>
      </c>
      <c r="D6">
        <v>200</v>
      </c>
      <c r="E6">
        <v>2</v>
      </c>
      <c r="F6">
        <v>7</v>
      </c>
      <c r="G6" s="2">
        <v>1783016359.7393401</v>
      </c>
      <c r="H6" s="2" t="s">
        <v>348</v>
      </c>
      <c r="I6">
        <v>-140</v>
      </c>
      <c r="J6">
        <v>-16.25</v>
      </c>
      <c r="K6">
        <f t="shared" si="0"/>
        <v>17.142439842224121</v>
      </c>
    </row>
    <row r="7" spans="1:11" x14ac:dyDescent="0.2">
      <c r="A7">
        <v>74218654</v>
      </c>
      <c r="B7" t="s">
        <v>0</v>
      </c>
      <c r="C7" t="s">
        <v>1</v>
      </c>
      <c r="D7">
        <v>200</v>
      </c>
      <c r="E7">
        <v>2</v>
      </c>
      <c r="F7">
        <v>8</v>
      </c>
      <c r="G7" s="2">
        <v>1783016364.8505001</v>
      </c>
      <c r="H7" s="2" t="s">
        <v>349</v>
      </c>
      <c r="I7">
        <v>-138</v>
      </c>
      <c r="J7">
        <v>-14.75</v>
      </c>
      <c r="K7">
        <f t="shared" si="0"/>
        <v>21.295719861984253</v>
      </c>
    </row>
    <row r="8" spans="1:11" x14ac:dyDescent="0.2">
      <c r="A8">
        <v>498995359</v>
      </c>
      <c r="B8" t="s">
        <v>0</v>
      </c>
      <c r="C8" t="s">
        <v>1</v>
      </c>
      <c r="D8">
        <v>200</v>
      </c>
      <c r="E8">
        <v>2</v>
      </c>
      <c r="F8">
        <v>9</v>
      </c>
      <c r="G8" s="2">
        <v>1783016369.9588799</v>
      </c>
      <c r="H8" s="2" t="s">
        <v>350</v>
      </c>
      <c r="I8">
        <v>-138</v>
      </c>
      <c r="J8">
        <v>-15.25</v>
      </c>
      <c r="K8">
        <f t="shared" si="0"/>
        <v>27.089270114898682</v>
      </c>
    </row>
    <row r="9" spans="1:11" x14ac:dyDescent="0.2">
      <c r="A9">
        <v>3561841824</v>
      </c>
      <c r="B9" t="s">
        <v>0</v>
      </c>
      <c r="C9" t="s">
        <v>1</v>
      </c>
      <c r="D9">
        <v>200</v>
      </c>
      <c r="E9">
        <v>2</v>
      </c>
      <c r="F9">
        <v>10</v>
      </c>
      <c r="G9" s="2">
        <v>1783016375.0682499</v>
      </c>
      <c r="H9" s="2" t="s">
        <v>351</v>
      </c>
      <c r="I9">
        <v>-139</v>
      </c>
      <c r="J9">
        <v>-14.5</v>
      </c>
      <c r="K9">
        <f t="shared" si="0"/>
        <v>37.673629999160767</v>
      </c>
    </row>
    <row r="10" spans="1:11" x14ac:dyDescent="0.2">
      <c r="A10">
        <v>2450951329</v>
      </c>
      <c r="B10" t="s">
        <v>0</v>
      </c>
      <c r="C10" t="s">
        <v>1</v>
      </c>
      <c r="D10">
        <v>200</v>
      </c>
      <c r="E10">
        <v>2</v>
      </c>
      <c r="F10">
        <v>11</v>
      </c>
      <c r="G10" s="2">
        <v>1783016380.1759801</v>
      </c>
      <c r="H10" s="2" t="s">
        <v>352</v>
      </c>
      <c r="I10">
        <v>-138</v>
      </c>
      <c r="J10">
        <v>-13.5</v>
      </c>
      <c r="K10">
        <f t="shared" si="0"/>
        <v>38.092309951782227</v>
      </c>
    </row>
    <row r="11" spans="1:11" x14ac:dyDescent="0.2">
      <c r="A11">
        <v>1878023330</v>
      </c>
      <c r="B11" t="s">
        <v>0</v>
      </c>
      <c r="C11" t="s">
        <v>1</v>
      </c>
      <c r="D11">
        <v>200</v>
      </c>
      <c r="E11">
        <v>2</v>
      </c>
      <c r="F11">
        <v>12</v>
      </c>
      <c r="G11" s="2">
        <v>1783016385.2857399</v>
      </c>
      <c r="H11" s="2" t="s">
        <v>353</v>
      </c>
      <c r="I11">
        <v>-137</v>
      </c>
      <c r="J11">
        <v>-12.5</v>
      </c>
      <c r="K11">
        <f t="shared" si="0"/>
        <v>45.894390106201172</v>
      </c>
    </row>
    <row r="12" spans="1:11" x14ac:dyDescent="0.2">
      <c r="A12">
        <v>2770119843</v>
      </c>
      <c r="B12" t="s">
        <v>0</v>
      </c>
      <c r="C12" t="s">
        <v>1</v>
      </c>
      <c r="D12">
        <v>200</v>
      </c>
      <c r="E12">
        <v>2</v>
      </c>
      <c r="F12">
        <v>13</v>
      </c>
      <c r="G12" s="2">
        <v>1783016390.3946199</v>
      </c>
      <c r="H12" s="2" t="s">
        <v>354</v>
      </c>
      <c r="I12">
        <v>-139</v>
      </c>
      <c r="J12">
        <v>-16</v>
      </c>
      <c r="K12">
        <f t="shared" si="0"/>
        <v>52.825639963150024</v>
      </c>
    </row>
    <row r="13" spans="1:11" x14ac:dyDescent="0.2">
      <c r="A13">
        <v>3487877285</v>
      </c>
      <c r="B13" t="s">
        <v>0</v>
      </c>
      <c r="C13" t="s">
        <v>1</v>
      </c>
      <c r="D13">
        <v>200</v>
      </c>
      <c r="E13">
        <v>2</v>
      </c>
      <c r="F13">
        <v>15</v>
      </c>
      <c r="G13" s="2">
        <v>1783016400.6096499</v>
      </c>
      <c r="H13" s="2" t="s">
        <v>356</v>
      </c>
      <c r="I13">
        <v>-138</v>
      </c>
      <c r="J13">
        <v>-12.75</v>
      </c>
      <c r="K13">
        <f t="shared" si="0"/>
        <v>55.624250173568726</v>
      </c>
    </row>
    <row r="14" spans="1:11" x14ac:dyDescent="0.2">
      <c r="A14">
        <v>1769893030</v>
      </c>
      <c r="B14" t="s">
        <v>0</v>
      </c>
      <c r="C14" t="s">
        <v>1</v>
      </c>
      <c r="D14">
        <v>200</v>
      </c>
      <c r="E14">
        <v>2</v>
      </c>
      <c r="F14">
        <v>16</v>
      </c>
      <c r="G14" s="2">
        <v>1783016405.71667</v>
      </c>
      <c r="H14" s="2" t="s">
        <v>355</v>
      </c>
      <c r="I14">
        <v>-135</v>
      </c>
      <c r="J14">
        <v>-11</v>
      </c>
      <c r="K14">
        <f t="shared" si="0"/>
        <v>44.6352698802948</v>
      </c>
    </row>
    <row r="15" spans="1:11" x14ac:dyDescent="0.2">
      <c r="A15">
        <v>222209191</v>
      </c>
      <c r="B15" t="s">
        <v>0</v>
      </c>
      <c r="C15" t="s">
        <v>1</v>
      </c>
      <c r="D15">
        <v>200</v>
      </c>
      <c r="E15">
        <v>2</v>
      </c>
      <c r="F15">
        <v>17</v>
      </c>
      <c r="G15" s="2">
        <v>1783016410.8225601</v>
      </c>
      <c r="H15" s="2" t="s">
        <v>357</v>
      </c>
      <c r="I15">
        <v>-135</v>
      </c>
      <c r="J15">
        <v>-10.75</v>
      </c>
      <c r="K15">
        <f t="shared" si="0"/>
        <v>53.711299896240234</v>
      </c>
    </row>
    <row r="16" spans="1:11" x14ac:dyDescent="0.2">
      <c r="A16">
        <v>1092912297</v>
      </c>
      <c r="B16" t="s">
        <v>0</v>
      </c>
      <c r="C16" t="s">
        <v>1</v>
      </c>
      <c r="D16">
        <v>200</v>
      </c>
      <c r="E16">
        <v>2</v>
      </c>
      <c r="F16">
        <v>19</v>
      </c>
      <c r="G16" s="2">
        <v>1783016421.04</v>
      </c>
      <c r="H16" s="2" t="s">
        <v>360</v>
      </c>
      <c r="I16">
        <v>-136</v>
      </c>
      <c r="J16">
        <v>-11.5</v>
      </c>
      <c r="K16">
        <f t="shared" si="0"/>
        <v>47.178240060806274</v>
      </c>
    </row>
    <row r="17" spans="1:11" x14ac:dyDescent="0.2">
      <c r="A17">
        <v>252217514</v>
      </c>
      <c r="B17" t="s">
        <v>0</v>
      </c>
      <c r="C17" t="s">
        <v>1</v>
      </c>
      <c r="D17">
        <v>200</v>
      </c>
      <c r="E17">
        <v>2</v>
      </c>
      <c r="F17">
        <v>20</v>
      </c>
      <c r="G17" s="2">
        <v>1783016426.1468799</v>
      </c>
      <c r="H17" s="2" t="s">
        <v>362</v>
      </c>
      <c r="I17">
        <v>-138</v>
      </c>
      <c r="J17">
        <v>-13</v>
      </c>
      <c r="K17">
        <f t="shared" si="0"/>
        <v>81.436570167541504</v>
      </c>
    </row>
    <row r="18" spans="1:11" x14ac:dyDescent="0.2">
      <c r="A18">
        <v>3421362347</v>
      </c>
      <c r="B18" t="s">
        <v>0</v>
      </c>
      <c r="C18" t="s">
        <v>1</v>
      </c>
      <c r="D18">
        <v>200</v>
      </c>
      <c r="E18">
        <v>2</v>
      </c>
      <c r="F18">
        <v>21</v>
      </c>
      <c r="G18" s="2">
        <v>1783016431.2553999</v>
      </c>
      <c r="H18" s="2" t="s">
        <v>361</v>
      </c>
      <c r="I18">
        <v>-137</v>
      </c>
      <c r="J18">
        <v>-13</v>
      </c>
      <c r="K18">
        <f t="shared" si="0"/>
        <v>69.243200063705444</v>
      </c>
    </row>
    <row r="19" spans="1:11" x14ac:dyDescent="0.2">
      <c r="A19">
        <v>1608598700</v>
      </c>
      <c r="B19" t="s">
        <v>0</v>
      </c>
      <c r="C19" t="s">
        <v>1</v>
      </c>
      <c r="D19">
        <v>200</v>
      </c>
      <c r="E19">
        <v>2</v>
      </c>
      <c r="F19">
        <v>22</v>
      </c>
      <c r="G19" s="2">
        <v>1783016436.36637</v>
      </c>
      <c r="H19" s="2" t="s">
        <v>363</v>
      </c>
      <c r="I19">
        <v>-136</v>
      </c>
      <c r="J19">
        <v>-12.5</v>
      </c>
      <c r="K19">
        <f t="shared" si="0"/>
        <v>81.570470094680786</v>
      </c>
    </row>
    <row r="20" spans="1:11" x14ac:dyDescent="0.2">
      <c r="A20">
        <v>272061613</v>
      </c>
      <c r="B20" t="s">
        <v>0</v>
      </c>
      <c r="C20" t="s">
        <v>1</v>
      </c>
      <c r="D20">
        <v>200</v>
      </c>
      <c r="E20">
        <v>2</v>
      </c>
      <c r="F20">
        <v>23</v>
      </c>
      <c r="G20" s="2">
        <v>1783016441.4774201</v>
      </c>
      <c r="H20" s="2" t="s">
        <v>364</v>
      </c>
      <c r="I20">
        <v>-138</v>
      </c>
      <c r="J20">
        <v>-13.5</v>
      </c>
      <c r="K20">
        <f t="shared" si="0"/>
        <v>84.541549921035767</v>
      </c>
    </row>
    <row r="21" spans="1:11" x14ac:dyDescent="0.2">
      <c r="A21">
        <v>1573069998</v>
      </c>
      <c r="B21" t="s">
        <v>0</v>
      </c>
      <c r="C21" t="s">
        <v>1</v>
      </c>
      <c r="D21">
        <v>200</v>
      </c>
      <c r="E21">
        <v>2</v>
      </c>
      <c r="F21">
        <v>24</v>
      </c>
      <c r="G21" s="2">
        <v>1783016446.58391</v>
      </c>
      <c r="H21" s="2" t="s">
        <v>365</v>
      </c>
      <c r="I21">
        <v>-139</v>
      </c>
      <c r="J21">
        <v>-14.5</v>
      </c>
      <c r="K21">
        <f t="shared" si="0"/>
        <v>90.073199987411499</v>
      </c>
    </row>
    <row r="22" spans="1:11" x14ac:dyDescent="0.2">
      <c r="A22">
        <v>865043631</v>
      </c>
      <c r="B22" t="s">
        <v>0</v>
      </c>
      <c r="C22" t="s">
        <v>1</v>
      </c>
      <c r="D22">
        <v>200</v>
      </c>
      <c r="E22">
        <v>1</v>
      </c>
      <c r="F22">
        <v>25</v>
      </c>
      <c r="G22" s="2">
        <v>1783016451.6942899</v>
      </c>
      <c r="H22" s="2" t="s">
        <v>358</v>
      </c>
      <c r="I22">
        <v>-136</v>
      </c>
      <c r="J22">
        <v>-13.25</v>
      </c>
      <c r="K22">
        <f t="shared" si="0"/>
        <v>14.088370084762573</v>
      </c>
    </row>
    <row r="23" spans="1:11" x14ac:dyDescent="0.2">
      <c r="A23">
        <v>267577520</v>
      </c>
      <c r="B23" t="s">
        <v>0</v>
      </c>
      <c r="C23" t="s">
        <v>1</v>
      </c>
      <c r="D23">
        <v>200</v>
      </c>
      <c r="E23">
        <v>1</v>
      </c>
      <c r="F23">
        <v>26</v>
      </c>
      <c r="G23" s="2">
        <v>1783016456.80036</v>
      </c>
      <c r="H23" s="2" t="s">
        <v>359</v>
      </c>
      <c r="I23">
        <v>-137</v>
      </c>
      <c r="J23">
        <v>-13.75</v>
      </c>
      <c r="K23">
        <f t="shared" si="0"/>
        <v>10.190969944000244</v>
      </c>
    </row>
    <row r="24" spans="1:11" x14ac:dyDescent="0.2">
      <c r="A24">
        <v>3625113777</v>
      </c>
      <c r="B24" t="s">
        <v>0</v>
      </c>
      <c r="C24" t="s">
        <v>1</v>
      </c>
      <c r="D24">
        <v>200</v>
      </c>
      <c r="E24">
        <v>2</v>
      </c>
      <c r="F24">
        <v>27</v>
      </c>
      <c r="G24" s="2">
        <v>1783016461.9110701</v>
      </c>
      <c r="H24" s="2" t="s">
        <v>366</v>
      </c>
      <c r="I24">
        <v>-140</v>
      </c>
      <c r="J24">
        <v>-15.5</v>
      </c>
      <c r="K24">
        <f t="shared" si="0"/>
        <v>93.327979803085327</v>
      </c>
    </row>
    <row r="25" spans="1:11" x14ac:dyDescent="0.2">
      <c r="A25">
        <v>3688657074</v>
      </c>
      <c r="B25" t="s">
        <v>0</v>
      </c>
      <c r="C25" t="s">
        <v>1</v>
      </c>
      <c r="D25">
        <v>200</v>
      </c>
      <c r="E25">
        <v>2</v>
      </c>
      <c r="F25">
        <v>28</v>
      </c>
      <c r="G25" s="2">
        <v>1783016467.01875</v>
      </c>
      <c r="H25" s="2" t="s">
        <v>367</v>
      </c>
      <c r="I25">
        <v>-139</v>
      </c>
      <c r="J25">
        <v>-15.75</v>
      </c>
      <c r="K25">
        <f t="shared" si="0"/>
        <v>101.13964009284973</v>
      </c>
    </row>
    <row r="26" spans="1:11" x14ac:dyDescent="0.2">
      <c r="A26">
        <v>559829171</v>
      </c>
      <c r="B26" t="s">
        <v>0</v>
      </c>
      <c r="C26" t="s">
        <v>1</v>
      </c>
      <c r="D26">
        <v>200</v>
      </c>
      <c r="E26">
        <v>2</v>
      </c>
      <c r="F26">
        <v>29</v>
      </c>
      <c r="G26" s="2">
        <v>1783016472.1265099</v>
      </c>
      <c r="H26" s="2" t="s">
        <v>368</v>
      </c>
      <c r="I26">
        <v>-139</v>
      </c>
      <c r="J26">
        <v>-15.75</v>
      </c>
      <c r="K26">
        <f t="shared" si="0"/>
        <v>101.30256009101868</v>
      </c>
    </row>
    <row r="27" spans="1:11" x14ac:dyDescent="0.2">
      <c r="A27">
        <v>2694194356</v>
      </c>
      <c r="B27" t="s">
        <v>0</v>
      </c>
      <c r="C27" t="s">
        <v>1</v>
      </c>
      <c r="D27">
        <v>200</v>
      </c>
      <c r="E27">
        <v>2</v>
      </c>
      <c r="F27">
        <v>30</v>
      </c>
      <c r="G27" s="2">
        <v>1783016477.2374699</v>
      </c>
      <c r="H27" s="2" t="s">
        <v>371</v>
      </c>
      <c r="I27">
        <v>-141</v>
      </c>
      <c r="J27">
        <v>-16.5</v>
      </c>
      <c r="K27">
        <f t="shared" si="0"/>
        <v>121.21152019500732</v>
      </c>
    </row>
    <row r="28" spans="1:11" x14ac:dyDescent="0.2">
      <c r="A28">
        <v>1273089205</v>
      </c>
      <c r="B28" t="s">
        <v>0</v>
      </c>
      <c r="C28" t="s">
        <v>1</v>
      </c>
      <c r="D28">
        <v>200</v>
      </c>
      <c r="E28">
        <v>2</v>
      </c>
      <c r="F28">
        <v>31</v>
      </c>
      <c r="G28" s="2">
        <v>1783016482.3466799</v>
      </c>
      <c r="H28" s="2" t="s">
        <v>372</v>
      </c>
      <c r="I28">
        <v>-137</v>
      </c>
      <c r="J28">
        <v>-12.75</v>
      </c>
      <c r="K28">
        <f t="shared" si="0"/>
        <v>124.07535004615784</v>
      </c>
    </row>
    <row r="29" spans="1:11" x14ac:dyDescent="0.2">
      <c r="A29">
        <v>803893430</v>
      </c>
      <c r="B29" t="s">
        <v>0</v>
      </c>
      <c r="C29" t="s">
        <v>1</v>
      </c>
      <c r="D29">
        <v>200</v>
      </c>
      <c r="E29">
        <v>2</v>
      </c>
      <c r="F29">
        <v>32</v>
      </c>
      <c r="G29" s="2">
        <v>1783016487.4540401</v>
      </c>
      <c r="H29" s="2" t="s">
        <v>373</v>
      </c>
      <c r="I29">
        <v>-135</v>
      </c>
      <c r="J29">
        <v>-11.25</v>
      </c>
      <c r="K29">
        <f t="shared" si="0"/>
        <v>120.15575003623962</v>
      </c>
    </row>
    <row r="30" spans="1:11" x14ac:dyDescent="0.2">
      <c r="A30">
        <v>886271159</v>
      </c>
      <c r="B30" t="s">
        <v>0</v>
      </c>
      <c r="C30" t="s">
        <v>1</v>
      </c>
      <c r="D30">
        <v>200</v>
      </c>
      <c r="E30">
        <v>2</v>
      </c>
      <c r="F30">
        <v>33</v>
      </c>
      <c r="G30" s="2">
        <v>1783016492.5645399</v>
      </c>
      <c r="H30" s="2" t="s">
        <v>374</v>
      </c>
      <c r="I30">
        <v>-140</v>
      </c>
      <c r="J30">
        <v>-16</v>
      </c>
      <c r="K30">
        <f t="shared" si="0"/>
        <v>128.83711004257202</v>
      </c>
    </row>
    <row r="31" spans="1:11" x14ac:dyDescent="0.2">
      <c r="A31">
        <v>2045852857</v>
      </c>
      <c r="B31" t="s">
        <v>0</v>
      </c>
      <c r="C31" t="s">
        <v>1</v>
      </c>
      <c r="D31">
        <v>200</v>
      </c>
      <c r="E31">
        <v>2</v>
      </c>
      <c r="F31">
        <v>35</v>
      </c>
      <c r="G31" s="2">
        <v>1783016502.78004</v>
      </c>
      <c r="H31" s="2" t="s">
        <v>375</v>
      </c>
      <c r="I31">
        <v>-140</v>
      </c>
      <c r="J31">
        <v>-16.25</v>
      </c>
      <c r="K31">
        <f t="shared" si="0"/>
        <v>120.19568991661072</v>
      </c>
    </row>
    <row r="32" spans="1:11" x14ac:dyDescent="0.2">
      <c r="A32">
        <v>488132795</v>
      </c>
      <c r="B32" t="s">
        <v>0</v>
      </c>
      <c r="C32" t="s">
        <v>1</v>
      </c>
      <c r="D32">
        <v>200</v>
      </c>
      <c r="E32">
        <v>2</v>
      </c>
      <c r="F32">
        <v>37</v>
      </c>
      <c r="G32" s="2">
        <v>1783016512.9937999</v>
      </c>
      <c r="H32" s="2" t="s">
        <v>376</v>
      </c>
      <c r="I32">
        <v>-138</v>
      </c>
      <c r="J32">
        <v>-13.75</v>
      </c>
      <c r="K32">
        <f t="shared" si="0"/>
        <v>125.781170129776</v>
      </c>
    </row>
    <row r="33" spans="1:11" x14ac:dyDescent="0.2">
      <c r="A33">
        <v>1302500540</v>
      </c>
      <c r="B33" t="s">
        <v>0</v>
      </c>
      <c r="C33" t="s">
        <v>1</v>
      </c>
      <c r="D33">
        <v>200</v>
      </c>
      <c r="E33">
        <v>2</v>
      </c>
      <c r="F33">
        <v>38</v>
      </c>
      <c r="G33" s="2">
        <v>1783016518.1038799</v>
      </c>
      <c r="H33" s="2" t="s">
        <v>377</v>
      </c>
      <c r="I33">
        <v>-140</v>
      </c>
      <c r="J33">
        <v>-15.25</v>
      </c>
      <c r="K33">
        <f t="shared" si="0"/>
        <v>121.83133006095886</v>
      </c>
    </row>
    <row r="34" spans="1:11" x14ac:dyDescent="0.2">
      <c r="A34">
        <v>2481341629</v>
      </c>
      <c r="B34" t="s">
        <v>0</v>
      </c>
      <c r="C34" t="s">
        <v>1</v>
      </c>
      <c r="D34">
        <v>200</v>
      </c>
      <c r="E34">
        <v>2</v>
      </c>
      <c r="F34">
        <v>39</v>
      </c>
      <c r="G34" s="2">
        <v>1783016523.21119</v>
      </c>
      <c r="H34" s="2" t="s">
        <v>378</v>
      </c>
      <c r="I34">
        <v>-139</v>
      </c>
      <c r="J34">
        <v>-15.25</v>
      </c>
      <c r="K34">
        <f t="shared" si="0"/>
        <v>125.44789004325867</v>
      </c>
    </row>
    <row r="35" spans="1:11" x14ac:dyDescent="0.2">
      <c r="A35">
        <v>1394583743</v>
      </c>
      <c r="B35" t="s">
        <v>0</v>
      </c>
      <c r="C35" t="s">
        <v>1</v>
      </c>
      <c r="D35">
        <v>200</v>
      </c>
      <c r="E35">
        <v>2</v>
      </c>
      <c r="F35">
        <v>41</v>
      </c>
      <c r="G35" s="2">
        <v>1783016533.42698</v>
      </c>
      <c r="H35" s="2" t="s">
        <v>380</v>
      </c>
      <c r="I35">
        <v>-139</v>
      </c>
      <c r="J35">
        <v>-15</v>
      </c>
      <c r="K35">
        <f t="shared" si="0"/>
        <v>127.35487008094788</v>
      </c>
    </row>
    <row r="36" spans="1:11" x14ac:dyDescent="0.2">
      <c r="A36">
        <v>2612374720</v>
      </c>
      <c r="B36" t="s">
        <v>0</v>
      </c>
      <c r="C36" t="s">
        <v>1</v>
      </c>
      <c r="D36">
        <v>200</v>
      </c>
      <c r="E36">
        <v>2</v>
      </c>
      <c r="F36">
        <v>42</v>
      </c>
      <c r="G36" s="2">
        <v>1783016538.5374401</v>
      </c>
      <c r="H36" s="2" t="s">
        <v>379</v>
      </c>
      <c r="I36">
        <v>-135</v>
      </c>
      <c r="J36">
        <v>-11.25</v>
      </c>
      <c r="K36">
        <f t="shared" si="0"/>
        <v>115.54220986366272</v>
      </c>
    </row>
    <row r="37" spans="1:11" x14ac:dyDescent="0.2">
      <c r="A37">
        <v>3229432006</v>
      </c>
      <c r="B37" t="s">
        <v>0</v>
      </c>
      <c r="C37" t="s">
        <v>1</v>
      </c>
      <c r="D37">
        <v>200</v>
      </c>
      <c r="E37">
        <v>2</v>
      </c>
      <c r="F37">
        <v>48</v>
      </c>
      <c r="G37" s="2">
        <v>1783016569.1948299</v>
      </c>
      <c r="H37" s="2" t="s">
        <v>381</v>
      </c>
      <c r="I37">
        <v>-140</v>
      </c>
      <c r="J37">
        <v>-16.25</v>
      </c>
      <c r="K37">
        <f t="shared" si="0"/>
        <v>92.755630016326904</v>
      </c>
    </row>
    <row r="38" spans="1:11" x14ac:dyDescent="0.2">
      <c r="A38">
        <v>3108538567</v>
      </c>
      <c r="B38" t="s">
        <v>0</v>
      </c>
      <c r="C38" t="s">
        <v>1</v>
      </c>
      <c r="D38">
        <v>200</v>
      </c>
      <c r="E38">
        <v>1</v>
      </c>
      <c r="F38">
        <v>49</v>
      </c>
      <c r="G38" s="2">
        <v>1783016574.3014901</v>
      </c>
      <c r="H38" s="2" t="s">
        <v>369</v>
      </c>
      <c r="I38">
        <v>-140</v>
      </c>
      <c r="J38">
        <v>-15.5</v>
      </c>
      <c r="K38">
        <f t="shared" si="0"/>
        <v>4.9385600090026855</v>
      </c>
    </row>
    <row r="39" spans="1:11" x14ac:dyDescent="0.2">
      <c r="A39">
        <v>4230789320</v>
      </c>
      <c r="B39" t="s">
        <v>0</v>
      </c>
      <c r="C39" t="s">
        <v>1</v>
      </c>
      <c r="D39">
        <v>200</v>
      </c>
      <c r="E39">
        <v>1</v>
      </c>
      <c r="F39">
        <v>50</v>
      </c>
      <c r="G39" s="2">
        <v>1783016579.4072101</v>
      </c>
      <c r="H39" s="2" t="s">
        <v>370</v>
      </c>
      <c r="I39">
        <v>-142</v>
      </c>
      <c r="J39">
        <v>-16.5</v>
      </c>
      <c r="K39">
        <f t="shared" si="0"/>
        <v>4.4393999576568604</v>
      </c>
    </row>
  </sheetData>
  <sortState xmlns:xlrd2="http://schemas.microsoft.com/office/spreadsheetml/2017/richdata2" ref="A1:J39">
    <sortCondition ref="F1:F3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E44D-F957-3549-8CA3-BB5B18AAF6B7}">
  <sheetPr>
    <tabColor rgb="FF92D050"/>
  </sheetPr>
  <dimension ref="A1:D23"/>
  <sheetViews>
    <sheetView workbookViewId="0">
      <selection sqref="A1:A23"/>
    </sheetView>
  </sheetViews>
  <sheetFormatPr baseColWidth="10" defaultRowHeight="16" x14ac:dyDescent="0.2"/>
  <sheetData>
    <row r="1" spans="1:4" x14ac:dyDescent="0.2">
      <c r="A1">
        <v>2356606103</v>
      </c>
      <c r="B1" s="2" t="s">
        <v>323</v>
      </c>
    </row>
    <row r="2" spans="1:4" x14ac:dyDescent="0.2">
      <c r="A2">
        <v>2356606103</v>
      </c>
      <c r="B2" s="2" t="s">
        <v>324</v>
      </c>
      <c r="C2">
        <v>-115</v>
      </c>
      <c r="D2">
        <v>2.75</v>
      </c>
    </row>
    <row r="3" spans="1:4" x14ac:dyDescent="0.2">
      <c r="A3">
        <v>2939092121</v>
      </c>
      <c r="B3" s="2" t="s">
        <v>325</v>
      </c>
    </row>
    <row r="4" spans="1:4" x14ac:dyDescent="0.2">
      <c r="A4">
        <v>2939092121</v>
      </c>
      <c r="B4" s="2" t="s">
        <v>326</v>
      </c>
      <c r="C4">
        <v>-116</v>
      </c>
      <c r="D4">
        <v>4</v>
      </c>
    </row>
    <row r="5" spans="1:4" x14ac:dyDescent="0.2">
      <c r="A5">
        <v>2917316760</v>
      </c>
      <c r="B5" s="2" t="s">
        <v>327</v>
      </c>
    </row>
    <row r="6" spans="1:4" x14ac:dyDescent="0.2">
      <c r="A6">
        <v>4019089562</v>
      </c>
      <c r="B6" s="2" t="s">
        <v>328</v>
      </c>
    </row>
    <row r="7" spans="1:4" x14ac:dyDescent="0.2">
      <c r="A7">
        <v>2917316760</v>
      </c>
      <c r="B7" s="2" t="s">
        <v>329</v>
      </c>
      <c r="C7">
        <v>-116</v>
      </c>
      <c r="D7">
        <v>6</v>
      </c>
    </row>
    <row r="8" spans="1:4" x14ac:dyDescent="0.2">
      <c r="A8">
        <v>2159920284</v>
      </c>
      <c r="B8" s="2" t="s">
        <v>330</v>
      </c>
    </row>
    <row r="9" spans="1:4" x14ac:dyDescent="0.2">
      <c r="A9">
        <v>1839092891</v>
      </c>
      <c r="B9">
        <v>1783016373.30913</v>
      </c>
    </row>
    <row r="10" spans="1:4" x14ac:dyDescent="0.2">
      <c r="A10">
        <v>224053405</v>
      </c>
      <c r="B10" s="2" t="s">
        <v>331</v>
      </c>
    </row>
    <row r="11" spans="1:4" x14ac:dyDescent="0.2">
      <c r="A11">
        <v>224053405</v>
      </c>
      <c r="B11" s="2" t="s">
        <v>332</v>
      </c>
      <c r="C11">
        <v>-114</v>
      </c>
      <c r="D11">
        <v>5.25</v>
      </c>
    </row>
    <row r="12" spans="1:4" x14ac:dyDescent="0.2">
      <c r="A12">
        <v>74218654</v>
      </c>
      <c r="B12" s="2" t="s">
        <v>333</v>
      </c>
    </row>
    <row r="13" spans="1:4" x14ac:dyDescent="0.2">
      <c r="A13">
        <v>74218654</v>
      </c>
      <c r="B13" s="2" t="s">
        <v>334</v>
      </c>
      <c r="C13">
        <v>-116</v>
      </c>
      <c r="D13">
        <v>5.5</v>
      </c>
    </row>
    <row r="14" spans="1:4" x14ac:dyDescent="0.2">
      <c r="A14">
        <v>498995359</v>
      </c>
      <c r="B14" s="2" t="s">
        <v>335</v>
      </c>
    </row>
    <row r="15" spans="1:4" x14ac:dyDescent="0.2">
      <c r="A15">
        <v>498995359</v>
      </c>
      <c r="B15" s="2" t="s">
        <v>336</v>
      </c>
      <c r="C15">
        <v>-117</v>
      </c>
      <c r="D15">
        <v>5.5</v>
      </c>
    </row>
    <row r="16" spans="1:4" x14ac:dyDescent="0.2">
      <c r="A16">
        <v>2450951329</v>
      </c>
      <c r="B16" s="2" t="s">
        <v>337</v>
      </c>
      <c r="C16">
        <v>-116</v>
      </c>
      <c r="D16">
        <v>3.75</v>
      </c>
    </row>
    <row r="17" spans="1:4" x14ac:dyDescent="0.2">
      <c r="A17">
        <v>865043631</v>
      </c>
      <c r="B17" s="2" t="s">
        <v>338</v>
      </c>
      <c r="C17">
        <v>-115</v>
      </c>
      <c r="D17">
        <v>4.75</v>
      </c>
    </row>
    <row r="18" spans="1:4" x14ac:dyDescent="0.2">
      <c r="A18">
        <v>267577520</v>
      </c>
      <c r="B18" s="2" t="s">
        <v>339</v>
      </c>
      <c r="C18">
        <v>-116</v>
      </c>
      <c r="D18">
        <v>5.75</v>
      </c>
    </row>
    <row r="19" spans="1:4" x14ac:dyDescent="0.2">
      <c r="A19">
        <v>1092912297</v>
      </c>
      <c r="B19" s="2" t="s">
        <v>340</v>
      </c>
      <c r="C19">
        <v>-116</v>
      </c>
      <c r="D19">
        <v>5.25</v>
      </c>
    </row>
    <row r="20" spans="1:4" x14ac:dyDescent="0.2">
      <c r="A20">
        <v>3421362347</v>
      </c>
      <c r="B20" s="2" t="s">
        <v>341</v>
      </c>
      <c r="C20">
        <v>-116</v>
      </c>
      <c r="D20">
        <v>4.25</v>
      </c>
    </row>
    <row r="21" spans="1:4" x14ac:dyDescent="0.2">
      <c r="A21">
        <v>272061613</v>
      </c>
      <c r="B21" s="2" t="s">
        <v>342</v>
      </c>
      <c r="C21">
        <v>-117</v>
      </c>
      <c r="D21">
        <v>5</v>
      </c>
    </row>
    <row r="22" spans="1:4" x14ac:dyDescent="0.2">
      <c r="A22">
        <v>559829171</v>
      </c>
      <c r="B22">
        <v>1783016577.6512001</v>
      </c>
      <c r="C22">
        <v>-144</v>
      </c>
      <c r="D22">
        <v>-19.25</v>
      </c>
    </row>
    <row r="23" spans="1:4" x14ac:dyDescent="0.2">
      <c r="A23">
        <v>4230789320</v>
      </c>
      <c r="B23" s="2" t="s">
        <v>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8EB1-0E76-E64C-A2A5-0C97BAAB6FF9}">
  <sheetPr>
    <tabColor rgb="FF92D050"/>
  </sheetPr>
  <dimension ref="A1:K43"/>
  <sheetViews>
    <sheetView topLeftCell="E1" zoomScale="150" workbookViewId="0">
      <selection activeCell="N35" sqref="N35"/>
    </sheetView>
  </sheetViews>
  <sheetFormatPr baseColWidth="10" defaultRowHeight="16" x14ac:dyDescent="0.2"/>
  <sheetData>
    <row r="1" spans="1:11" x14ac:dyDescent="0.2">
      <c r="A1">
        <v>1467316129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1783017790.6305301</v>
      </c>
      <c r="H1" s="2" t="s">
        <v>469</v>
      </c>
      <c r="I1">
        <v>-136</v>
      </c>
      <c r="J1">
        <v>-12.25</v>
      </c>
      <c r="K1">
        <f>H1-G1</f>
        <v>6.3444697856903076</v>
      </c>
    </row>
    <row r="2" spans="1:11" x14ac:dyDescent="0.2">
      <c r="A2">
        <v>1999121317</v>
      </c>
      <c r="B2" t="s">
        <v>0</v>
      </c>
      <c r="C2" t="s">
        <v>1</v>
      </c>
      <c r="D2">
        <v>200</v>
      </c>
      <c r="E2">
        <v>2</v>
      </c>
      <c r="F2">
        <v>5</v>
      </c>
      <c r="G2" s="2">
        <v>1783017871.09606</v>
      </c>
      <c r="H2" s="2" t="s">
        <v>470</v>
      </c>
      <c r="I2">
        <v>-138</v>
      </c>
      <c r="J2">
        <v>-14</v>
      </c>
      <c r="K2">
        <f t="shared" ref="K2:K43" si="0">H2-G2</f>
        <v>5.4751300811767578</v>
      </c>
    </row>
    <row r="3" spans="1:11" x14ac:dyDescent="0.2">
      <c r="A3">
        <v>4272586662</v>
      </c>
      <c r="B3" t="s">
        <v>0</v>
      </c>
      <c r="C3" t="s">
        <v>1</v>
      </c>
      <c r="D3">
        <v>200</v>
      </c>
      <c r="E3">
        <v>2</v>
      </c>
      <c r="F3">
        <v>6</v>
      </c>
      <c r="G3" s="2">
        <v>1783017891.2079699</v>
      </c>
      <c r="H3" s="2" t="s">
        <v>471</v>
      </c>
      <c r="I3">
        <v>-140</v>
      </c>
      <c r="J3">
        <v>-14.5</v>
      </c>
      <c r="K3">
        <f t="shared" si="0"/>
        <v>6.5749800205230713</v>
      </c>
    </row>
    <row r="4" spans="1:11" x14ac:dyDescent="0.2">
      <c r="A4">
        <v>252475303</v>
      </c>
      <c r="B4" t="s">
        <v>0</v>
      </c>
      <c r="C4" t="s">
        <v>1</v>
      </c>
      <c r="D4">
        <v>200</v>
      </c>
      <c r="E4">
        <v>2</v>
      </c>
      <c r="F4">
        <v>7</v>
      </c>
      <c r="G4" s="2">
        <v>1783017911.3195801</v>
      </c>
      <c r="H4" s="2" t="s">
        <v>472</v>
      </c>
      <c r="I4">
        <v>-135</v>
      </c>
      <c r="J4">
        <v>-11.25</v>
      </c>
      <c r="K4">
        <f t="shared" si="0"/>
        <v>6.3227899074554443</v>
      </c>
    </row>
    <row r="5" spans="1:11" x14ac:dyDescent="0.2">
      <c r="A5">
        <v>4172195752</v>
      </c>
      <c r="B5" t="s">
        <v>0</v>
      </c>
      <c r="C5" t="s">
        <v>1</v>
      </c>
      <c r="D5">
        <v>200</v>
      </c>
      <c r="E5">
        <v>2</v>
      </c>
      <c r="F5">
        <v>8</v>
      </c>
      <c r="G5" s="2">
        <v>1783017931.43258</v>
      </c>
      <c r="H5" s="2" t="s">
        <v>473</v>
      </c>
      <c r="I5">
        <v>-140</v>
      </c>
      <c r="J5">
        <v>-16.25</v>
      </c>
      <c r="K5">
        <f t="shared" si="0"/>
        <v>7.6879401206970215</v>
      </c>
    </row>
    <row r="6" spans="1:11" x14ac:dyDescent="0.2">
      <c r="A6">
        <v>1477650345</v>
      </c>
      <c r="B6" t="s">
        <v>0</v>
      </c>
      <c r="C6" t="s">
        <v>1</v>
      </c>
      <c r="D6">
        <v>200</v>
      </c>
      <c r="E6">
        <v>2</v>
      </c>
      <c r="F6">
        <v>9</v>
      </c>
      <c r="G6" s="2">
        <v>1783017951.5547299</v>
      </c>
      <c r="H6" s="2" t="s">
        <v>474</v>
      </c>
      <c r="I6">
        <v>-139</v>
      </c>
      <c r="J6">
        <v>-13.5</v>
      </c>
      <c r="K6">
        <f t="shared" si="0"/>
        <v>5.5706300735473633</v>
      </c>
    </row>
    <row r="7" spans="1:11" x14ac:dyDescent="0.2">
      <c r="A7">
        <v>2287170474</v>
      </c>
      <c r="B7" t="s">
        <v>0</v>
      </c>
      <c r="C7" t="s">
        <v>1</v>
      </c>
      <c r="D7">
        <v>204</v>
      </c>
      <c r="E7">
        <v>1</v>
      </c>
      <c r="F7">
        <v>10</v>
      </c>
      <c r="G7" s="2">
        <v>1783017971.66733</v>
      </c>
      <c r="H7" s="2" t="s">
        <v>475</v>
      </c>
      <c r="I7">
        <v>-144</v>
      </c>
      <c r="J7">
        <v>-19.75</v>
      </c>
      <c r="K7">
        <f t="shared" si="0"/>
        <v>4.0957598686218262</v>
      </c>
    </row>
    <row r="8" spans="1:11" x14ac:dyDescent="0.2">
      <c r="A8">
        <v>2729804715</v>
      </c>
      <c r="B8" t="s">
        <v>0</v>
      </c>
      <c r="C8" t="s">
        <v>1</v>
      </c>
      <c r="D8">
        <v>200</v>
      </c>
      <c r="E8">
        <v>2</v>
      </c>
      <c r="F8">
        <v>11</v>
      </c>
      <c r="G8" s="2">
        <v>1783017991.7777901</v>
      </c>
      <c r="H8" s="2" t="s">
        <v>476</v>
      </c>
      <c r="I8">
        <v>-139</v>
      </c>
      <c r="J8">
        <v>-15</v>
      </c>
      <c r="K8">
        <f t="shared" si="0"/>
        <v>6.0787498950958252</v>
      </c>
    </row>
    <row r="9" spans="1:11" x14ac:dyDescent="0.2">
      <c r="A9">
        <v>3474316204</v>
      </c>
      <c r="B9" t="s">
        <v>0</v>
      </c>
      <c r="C9" t="s">
        <v>1</v>
      </c>
      <c r="D9">
        <v>200</v>
      </c>
      <c r="E9">
        <v>2</v>
      </c>
      <c r="F9">
        <v>12</v>
      </c>
      <c r="G9" s="2">
        <v>1783018011.8863399</v>
      </c>
      <c r="H9" s="2" t="s">
        <v>477</v>
      </c>
      <c r="I9">
        <v>-143</v>
      </c>
      <c r="J9">
        <v>-19</v>
      </c>
      <c r="K9">
        <f t="shared" si="0"/>
        <v>6.6559700965881348</v>
      </c>
    </row>
    <row r="10" spans="1:11" x14ac:dyDescent="0.2">
      <c r="A10">
        <v>2904587181</v>
      </c>
      <c r="B10" t="s">
        <v>0</v>
      </c>
      <c r="C10" t="s">
        <v>1</v>
      </c>
      <c r="D10">
        <v>200</v>
      </c>
      <c r="E10">
        <v>2</v>
      </c>
      <c r="F10">
        <v>13</v>
      </c>
      <c r="G10" s="2">
        <v>1783018031.9986999</v>
      </c>
      <c r="H10" s="2" t="s">
        <v>478</v>
      </c>
      <c r="I10">
        <v>-139</v>
      </c>
      <c r="J10">
        <v>-14.75</v>
      </c>
      <c r="K10">
        <f t="shared" si="0"/>
        <v>6.700700044631958</v>
      </c>
    </row>
    <row r="11" spans="1:11" x14ac:dyDescent="0.2">
      <c r="A11">
        <v>1687119790</v>
      </c>
      <c r="B11" t="s">
        <v>0</v>
      </c>
      <c r="C11" t="s">
        <v>1</v>
      </c>
      <c r="D11">
        <v>200</v>
      </c>
      <c r="E11">
        <v>2</v>
      </c>
      <c r="F11">
        <v>14</v>
      </c>
      <c r="G11" s="2">
        <v>1783018052.11111</v>
      </c>
      <c r="H11" s="2" t="s">
        <v>479</v>
      </c>
      <c r="I11">
        <v>-138</v>
      </c>
      <c r="J11">
        <v>-13</v>
      </c>
      <c r="K11">
        <f t="shared" si="0"/>
        <v>5.5768399238586426</v>
      </c>
    </row>
    <row r="12" spans="1:11" x14ac:dyDescent="0.2">
      <c r="A12">
        <v>1779333039</v>
      </c>
      <c r="B12" t="s">
        <v>0</v>
      </c>
      <c r="C12" t="s">
        <v>1</v>
      </c>
      <c r="D12">
        <v>200</v>
      </c>
      <c r="E12">
        <v>2</v>
      </c>
      <c r="F12">
        <v>15</v>
      </c>
      <c r="G12" s="2">
        <v>1783018072.2205501</v>
      </c>
      <c r="H12" s="2" t="s">
        <v>480</v>
      </c>
      <c r="I12">
        <v>-137</v>
      </c>
      <c r="J12">
        <v>-13.25</v>
      </c>
      <c r="K12">
        <f t="shared" si="0"/>
        <v>7.3299000263214111</v>
      </c>
    </row>
    <row r="13" spans="1:11" x14ac:dyDescent="0.2">
      <c r="A13">
        <v>851579824</v>
      </c>
      <c r="B13" t="s">
        <v>0</v>
      </c>
      <c r="C13" t="s">
        <v>1</v>
      </c>
      <c r="D13">
        <v>200</v>
      </c>
      <c r="E13">
        <v>2</v>
      </c>
      <c r="F13">
        <v>16</v>
      </c>
      <c r="G13" s="2">
        <v>1783018092.3334501</v>
      </c>
      <c r="H13" s="2" t="s">
        <v>481</v>
      </c>
      <c r="I13">
        <v>-140</v>
      </c>
      <c r="J13">
        <v>-15</v>
      </c>
      <c r="K13">
        <f t="shared" si="0"/>
        <v>6.3691799640655518</v>
      </c>
    </row>
    <row r="14" spans="1:11" x14ac:dyDescent="0.2">
      <c r="A14">
        <v>994146225</v>
      </c>
      <c r="B14" t="s">
        <v>0</v>
      </c>
      <c r="C14" t="s">
        <v>1</v>
      </c>
      <c r="D14">
        <v>200</v>
      </c>
      <c r="E14">
        <v>2</v>
      </c>
      <c r="F14">
        <v>17</v>
      </c>
      <c r="G14" s="2">
        <v>1783018112.44434</v>
      </c>
      <c r="H14" s="2" t="s">
        <v>482</v>
      </c>
      <c r="I14">
        <v>-141</v>
      </c>
      <c r="J14">
        <v>-14.5</v>
      </c>
      <c r="K14">
        <f t="shared" si="0"/>
        <v>5.798259973526001</v>
      </c>
    </row>
    <row r="15" spans="1:11" x14ac:dyDescent="0.2">
      <c r="A15">
        <v>3343820722</v>
      </c>
      <c r="B15" t="s">
        <v>0</v>
      </c>
      <c r="C15" t="s">
        <v>1</v>
      </c>
      <c r="D15">
        <v>200</v>
      </c>
      <c r="E15">
        <v>2</v>
      </c>
      <c r="F15">
        <v>18</v>
      </c>
      <c r="G15" s="2">
        <v>1783018132.5555601</v>
      </c>
      <c r="H15" s="2" t="s">
        <v>483</v>
      </c>
      <c r="I15">
        <v>-139</v>
      </c>
      <c r="J15">
        <v>-14</v>
      </c>
      <c r="K15">
        <f t="shared" si="0"/>
        <v>6.5890398025512695</v>
      </c>
    </row>
    <row r="16" spans="1:11" x14ac:dyDescent="0.2">
      <c r="A16">
        <v>3392257971</v>
      </c>
      <c r="B16" t="s">
        <v>0</v>
      </c>
      <c r="C16" t="s">
        <v>1</v>
      </c>
      <c r="D16">
        <v>200</v>
      </c>
      <c r="E16">
        <v>2</v>
      </c>
      <c r="F16">
        <v>19</v>
      </c>
      <c r="G16" s="2">
        <v>1783018152.6670799</v>
      </c>
      <c r="H16" s="2" t="s">
        <v>484</v>
      </c>
      <c r="I16">
        <v>-141</v>
      </c>
      <c r="J16">
        <v>-14.75</v>
      </c>
      <c r="K16">
        <f t="shared" si="0"/>
        <v>6.6343700885772705</v>
      </c>
    </row>
    <row r="17" spans="1:11" x14ac:dyDescent="0.2">
      <c r="A17">
        <v>250540980</v>
      </c>
      <c r="B17" t="s">
        <v>0</v>
      </c>
      <c r="C17" t="s">
        <v>1</v>
      </c>
      <c r="D17">
        <v>200</v>
      </c>
      <c r="E17">
        <v>2</v>
      </c>
      <c r="F17">
        <v>20</v>
      </c>
      <c r="G17" s="2">
        <v>1783018172.7722199</v>
      </c>
      <c r="H17" s="2" t="s">
        <v>485</v>
      </c>
      <c r="I17">
        <v>-140</v>
      </c>
      <c r="J17">
        <v>-14.75</v>
      </c>
      <c r="K17">
        <f t="shared" si="0"/>
        <v>5.3930001258850098</v>
      </c>
    </row>
    <row r="18" spans="1:11" x14ac:dyDescent="0.2">
      <c r="A18">
        <v>3071252405</v>
      </c>
      <c r="B18" t="s">
        <v>0</v>
      </c>
      <c r="C18" t="s">
        <v>1</v>
      </c>
      <c r="D18">
        <v>200</v>
      </c>
      <c r="E18">
        <v>2</v>
      </c>
      <c r="F18">
        <v>21</v>
      </c>
      <c r="G18" s="2">
        <v>1783018192.88271</v>
      </c>
      <c r="H18" s="2" t="s">
        <v>486</v>
      </c>
      <c r="I18">
        <v>-140</v>
      </c>
      <c r="J18">
        <v>-15.25</v>
      </c>
      <c r="K18">
        <f t="shared" si="0"/>
        <v>7.1890099048614502</v>
      </c>
    </row>
    <row r="19" spans="1:11" x14ac:dyDescent="0.2">
      <c r="A19">
        <v>2612805558</v>
      </c>
      <c r="B19" t="s">
        <v>0</v>
      </c>
      <c r="C19" t="s">
        <v>1</v>
      </c>
      <c r="D19">
        <v>200</v>
      </c>
      <c r="E19">
        <v>2</v>
      </c>
      <c r="F19">
        <v>22</v>
      </c>
      <c r="G19" s="2">
        <v>1783018212.9929299</v>
      </c>
      <c r="H19" s="2" t="s">
        <v>487</v>
      </c>
      <c r="I19">
        <v>-136</v>
      </c>
      <c r="J19">
        <v>-12.25</v>
      </c>
      <c r="K19">
        <f t="shared" si="0"/>
        <v>4.4413700103759766</v>
      </c>
    </row>
    <row r="20" spans="1:11" x14ac:dyDescent="0.2">
      <c r="A20">
        <v>1055525815</v>
      </c>
      <c r="B20" t="s">
        <v>0</v>
      </c>
      <c r="C20" t="s">
        <v>1</v>
      </c>
      <c r="D20">
        <v>200</v>
      </c>
      <c r="E20">
        <v>2</v>
      </c>
      <c r="F20">
        <v>23</v>
      </c>
      <c r="G20" s="2">
        <v>1783018233.1033599</v>
      </c>
      <c r="H20" s="2" t="s">
        <v>488</v>
      </c>
      <c r="I20">
        <v>-138</v>
      </c>
      <c r="J20">
        <v>-12.5</v>
      </c>
      <c r="K20">
        <f t="shared" si="0"/>
        <v>7.0401401519775391</v>
      </c>
    </row>
    <row r="21" spans="1:11" x14ac:dyDescent="0.2">
      <c r="A21">
        <v>387171256</v>
      </c>
      <c r="B21" t="s">
        <v>0</v>
      </c>
      <c r="C21" t="s">
        <v>1</v>
      </c>
      <c r="D21">
        <v>200</v>
      </c>
      <c r="E21">
        <v>2</v>
      </c>
      <c r="F21">
        <v>24</v>
      </c>
      <c r="G21" s="2">
        <v>1783018253.2133801</v>
      </c>
      <c r="H21" s="2" t="s">
        <v>489</v>
      </c>
      <c r="I21">
        <v>-137</v>
      </c>
      <c r="J21">
        <v>-12</v>
      </c>
      <c r="K21">
        <f t="shared" si="0"/>
        <v>6.0657598972320557</v>
      </c>
    </row>
    <row r="22" spans="1:11" x14ac:dyDescent="0.2">
      <c r="A22">
        <v>2653928377</v>
      </c>
      <c r="B22" t="s">
        <v>0</v>
      </c>
      <c r="C22" t="s">
        <v>1</v>
      </c>
      <c r="D22">
        <v>200</v>
      </c>
      <c r="E22">
        <v>2</v>
      </c>
      <c r="F22">
        <v>25</v>
      </c>
      <c r="G22" s="2">
        <v>1783018273.32253</v>
      </c>
      <c r="H22" s="2" t="s">
        <v>490</v>
      </c>
      <c r="I22">
        <v>-139</v>
      </c>
      <c r="J22">
        <v>-13.75</v>
      </c>
      <c r="K22">
        <f t="shared" si="0"/>
        <v>6.5769898891448975</v>
      </c>
    </row>
    <row r="23" spans="1:11" x14ac:dyDescent="0.2">
      <c r="A23">
        <v>1660974012</v>
      </c>
      <c r="B23" t="s">
        <v>0</v>
      </c>
      <c r="C23" t="s">
        <v>1</v>
      </c>
      <c r="D23">
        <v>200</v>
      </c>
      <c r="E23">
        <v>2</v>
      </c>
      <c r="F23">
        <v>28</v>
      </c>
      <c r="G23" s="2">
        <v>1783018333.6431999</v>
      </c>
      <c r="H23" s="2" t="s">
        <v>491</v>
      </c>
      <c r="I23">
        <v>-139</v>
      </c>
      <c r="J23">
        <v>-15</v>
      </c>
      <c r="K23">
        <f t="shared" si="0"/>
        <v>6.5668799877166748</v>
      </c>
    </row>
    <row r="24" spans="1:11" x14ac:dyDescent="0.2">
      <c r="A24">
        <v>247476157</v>
      </c>
      <c r="B24" t="s">
        <v>0</v>
      </c>
      <c r="C24" t="s">
        <v>1</v>
      </c>
      <c r="D24">
        <v>200</v>
      </c>
      <c r="E24">
        <v>2</v>
      </c>
      <c r="F24">
        <v>29</v>
      </c>
      <c r="G24" s="2">
        <v>1783018353.7548399</v>
      </c>
      <c r="H24" s="2" t="s">
        <v>492</v>
      </c>
      <c r="I24">
        <v>-139</v>
      </c>
      <c r="J24">
        <v>-15</v>
      </c>
      <c r="K24">
        <f t="shared" si="0"/>
        <v>5.6795001029968262</v>
      </c>
    </row>
    <row r="25" spans="1:11" x14ac:dyDescent="0.2">
      <c r="A25">
        <v>4170792896</v>
      </c>
      <c r="B25" t="s">
        <v>0</v>
      </c>
      <c r="C25" t="s">
        <v>1</v>
      </c>
      <c r="D25">
        <v>200</v>
      </c>
      <c r="E25">
        <v>2</v>
      </c>
      <c r="F25">
        <v>32</v>
      </c>
      <c r="G25" s="2">
        <v>1783018414.0804701</v>
      </c>
      <c r="H25" s="2" t="s">
        <v>493</v>
      </c>
      <c r="I25">
        <v>-137</v>
      </c>
      <c r="J25">
        <v>-11.5</v>
      </c>
      <c r="K25">
        <f t="shared" si="0"/>
        <v>6.3768599033355713</v>
      </c>
    </row>
    <row r="26" spans="1:11" x14ac:dyDescent="0.2">
      <c r="A26">
        <v>4049139649</v>
      </c>
      <c r="B26" t="s">
        <v>0</v>
      </c>
      <c r="C26" t="s">
        <v>1</v>
      </c>
      <c r="D26">
        <v>200</v>
      </c>
      <c r="E26">
        <v>2</v>
      </c>
      <c r="F26">
        <v>33</v>
      </c>
      <c r="G26" s="2">
        <v>1783018434.1893301</v>
      </c>
      <c r="H26" s="2" t="s">
        <v>494</v>
      </c>
      <c r="I26">
        <v>-137</v>
      </c>
      <c r="J26">
        <v>-12.75</v>
      </c>
      <c r="K26">
        <f t="shared" si="0"/>
        <v>5.8784899711608887</v>
      </c>
    </row>
    <row r="27" spans="1:11" x14ac:dyDescent="0.2">
      <c r="A27">
        <v>2422521794</v>
      </c>
      <c r="B27" t="s">
        <v>0</v>
      </c>
      <c r="C27" t="s">
        <v>1</v>
      </c>
      <c r="D27">
        <v>200</v>
      </c>
      <c r="E27">
        <v>2</v>
      </c>
      <c r="F27">
        <v>34</v>
      </c>
      <c r="G27" s="2">
        <v>1783018454.3008101</v>
      </c>
      <c r="H27" s="2" t="s">
        <v>495</v>
      </c>
      <c r="I27">
        <v>-139</v>
      </c>
      <c r="J27">
        <v>-14.25</v>
      </c>
      <c r="K27">
        <f t="shared" si="0"/>
        <v>5.7235698699951172</v>
      </c>
    </row>
    <row r="28" spans="1:11" x14ac:dyDescent="0.2">
      <c r="A28">
        <v>2999637955</v>
      </c>
      <c r="B28" t="s">
        <v>0</v>
      </c>
      <c r="C28" t="s">
        <v>1</v>
      </c>
      <c r="D28">
        <v>200</v>
      </c>
      <c r="E28">
        <v>2</v>
      </c>
      <c r="F28">
        <v>35</v>
      </c>
      <c r="G28" s="2">
        <v>1783018474.41294</v>
      </c>
      <c r="H28" s="2" t="s">
        <v>496</v>
      </c>
      <c r="I28">
        <v>-138</v>
      </c>
      <c r="J28">
        <v>-13.5</v>
      </c>
      <c r="K28">
        <f t="shared" si="0"/>
        <v>4.7696599960327148</v>
      </c>
    </row>
    <row r="29" spans="1:11" x14ac:dyDescent="0.2">
      <c r="A29">
        <v>1130434500</v>
      </c>
      <c r="B29" t="s">
        <v>0</v>
      </c>
      <c r="C29" t="s">
        <v>1</v>
      </c>
      <c r="D29">
        <v>200</v>
      </c>
      <c r="E29">
        <v>2</v>
      </c>
      <c r="F29">
        <v>36</v>
      </c>
      <c r="G29" s="2">
        <v>1783018494.5211201</v>
      </c>
      <c r="H29" s="2" t="s">
        <v>497</v>
      </c>
      <c r="I29">
        <v>-139</v>
      </c>
      <c r="J29">
        <v>-13.5</v>
      </c>
      <c r="K29">
        <f t="shared" si="0"/>
        <v>7.2941799163818359</v>
      </c>
    </row>
    <row r="30" spans="1:11" x14ac:dyDescent="0.2">
      <c r="A30">
        <v>1174396869</v>
      </c>
      <c r="B30" t="s">
        <v>0</v>
      </c>
      <c r="C30" t="s">
        <v>1</v>
      </c>
      <c r="D30">
        <v>200</v>
      </c>
      <c r="E30">
        <v>2</v>
      </c>
      <c r="F30">
        <v>37</v>
      </c>
      <c r="G30" s="2">
        <v>1783018514.63322</v>
      </c>
      <c r="H30" s="2" t="s">
        <v>498</v>
      </c>
      <c r="I30">
        <v>-138</v>
      </c>
      <c r="J30">
        <v>-14.25</v>
      </c>
      <c r="K30">
        <f t="shared" si="0"/>
        <v>5.0195200443267822</v>
      </c>
    </row>
    <row r="31" spans="1:11" x14ac:dyDescent="0.2">
      <c r="A31">
        <v>2261360582</v>
      </c>
      <c r="B31" t="s">
        <v>0</v>
      </c>
      <c r="C31" t="s">
        <v>1</v>
      </c>
      <c r="D31">
        <v>200</v>
      </c>
      <c r="E31">
        <v>2</v>
      </c>
      <c r="F31">
        <v>38</v>
      </c>
      <c r="G31" s="2">
        <v>1783018534.74611</v>
      </c>
      <c r="H31" s="2" t="s">
        <v>499</v>
      </c>
      <c r="I31">
        <v>-138</v>
      </c>
      <c r="J31">
        <v>-14</v>
      </c>
      <c r="K31">
        <f t="shared" si="0"/>
        <v>6.0650200843811035</v>
      </c>
    </row>
    <row r="32" spans="1:11" x14ac:dyDescent="0.2">
      <c r="A32">
        <v>3107042247</v>
      </c>
      <c r="B32" t="s">
        <v>0</v>
      </c>
      <c r="C32" t="s">
        <v>1</v>
      </c>
      <c r="D32">
        <v>200</v>
      </c>
      <c r="E32">
        <v>2</v>
      </c>
      <c r="F32">
        <v>39</v>
      </c>
      <c r="G32">
        <v>1783018554.8545699</v>
      </c>
      <c r="H32">
        <v>1783018561.3006699</v>
      </c>
      <c r="I32">
        <v>-137</v>
      </c>
      <c r="J32">
        <v>-13</v>
      </c>
      <c r="K32">
        <f t="shared" si="0"/>
        <v>6.4460999965667725</v>
      </c>
    </row>
    <row r="33" spans="1:11" x14ac:dyDescent="0.2">
      <c r="A33">
        <v>618178504</v>
      </c>
      <c r="B33" t="s">
        <v>0</v>
      </c>
      <c r="C33" t="s">
        <v>1</v>
      </c>
      <c r="D33">
        <v>200</v>
      </c>
      <c r="E33">
        <v>2</v>
      </c>
      <c r="F33">
        <v>40</v>
      </c>
      <c r="G33" s="2">
        <v>1783018574.9721999</v>
      </c>
      <c r="H33" s="2" t="s">
        <v>500</v>
      </c>
      <c r="I33">
        <v>-136</v>
      </c>
      <c r="J33">
        <v>-11.5</v>
      </c>
      <c r="K33">
        <f t="shared" si="0"/>
        <v>7.7019801139831543</v>
      </c>
    </row>
    <row r="34" spans="1:11" x14ac:dyDescent="0.2">
      <c r="A34">
        <v>2577157065</v>
      </c>
      <c r="B34" t="s">
        <v>0</v>
      </c>
      <c r="C34" t="s">
        <v>1</v>
      </c>
      <c r="D34">
        <v>200</v>
      </c>
      <c r="E34">
        <v>2</v>
      </c>
      <c r="F34">
        <v>41</v>
      </c>
      <c r="G34" s="2">
        <v>1783018595.08478</v>
      </c>
      <c r="H34" s="2" t="s">
        <v>501</v>
      </c>
      <c r="I34">
        <v>-139</v>
      </c>
      <c r="J34">
        <v>-14</v>
      </c>
      <c r="K34">
        <f t="shared" si="0"/>
        <v>6.4418900012969971</v>
      </c>
    </row>
    <row r="35" spans="1:11" x14ac:dyDescent="0.2">
      <c r="A35">
        <v>1685260234</v>
      </c>
      <c r="B35" t="s">
        <v>0</v>
      </c>
      <c r="C35" t="s">
        <v>1</v>
      </c>
      <c r="D35">
        <v>200</v>
      </c>
      <c r="E35">
        <v>2</v>
      </c>
      <c r="F35">
        <v>42</v>
      </c>
      <c r="G35" s="2">
        <v>1783018615.1967399</v>
      </c>
      <c r="H35" s="2" t="s">
        <v>502</v>
      </c>
      <c r="I35">
        <v>-140</v>
      </c>
      <c r="J35">
        <v>-15.25</v>
      </c>
      <c r="K35">
        <f t="shared" si="0"/>
        <v>6.8599300384521484</v>
      </c>
    </row>
    <row r="36" spans="1:11" x14ac:dyDescent="0.2">
      <c r="A36">
        <v>1037724619</v>
      </c>
      <c r="B36" t="s">
        <v>0</v>
      </c>
      <c r="C36" t="s">
        <v>1</v>
      </c>
      <c r="D36">
        <v>200</v>
      </c>
      <c r="E36">
        <v>2</v>
      </c>
      <c r="F36">
        <v>43</v>
      </c>
      <c r="G36" s="2">
        <v>1783018635.3150001</v>
      </c>
      <c r="H36" s="2" t="s">
        <v>503</v>
      </c>
      <c r="I36">
        <v>-137</v>
      </c>
      <c r="J36">
        <v>-14</v>
      </c>
      <c r="K36">
        <f t="shared" si="0"/>
        <v>6.0369298458099365</v>
      </c>
    </row>
    <row r="37" spans="1:11" x14ac:dyDescent="0.2">
      <c r="A37">
        <v>3619554252</v>
      </c>
      <c r="B37" t="s">
        <v>0</v>
      </c>
      <c r="C37" t="s">
        <v>1</v>
      </c>
      <c r="D37">
        <v>200</v>
      </c>
      <c r="E37">
        <v>2</v>
      </c>
      <c r="F37">
        <v>44</v>
      </c>
      <c r="G37" s="2">
        <v>1783018655.4270301</v>
      </c>
      <c r="H37" s="2" t="s">
        <v>504</v>
      </c>
      <c r="I37">
        <v>-137</v>
      </c>
      <c r="J37">
        <v>-13</v>
      </c>
      <c r="K37">
        <f t="shared" si="0"/>
        <v>6.6208598613739014</v>
      </c>
    </row>
    <row r="38" spans="1:11" x14ac:dyDescent="0.2">
      <c r="A38">
        <v>2948291533</v>
      </c>
      <c r="B38" t="s">
        <v>0</v>
      </c>
      <c r="C38" t="s">
        <v>1</v>
      </c>
      <c r="D38">
        <v>200</v>
      </c>
      <c r="E38">
        <v>2</v>
      </c>
      <c r="F38">
        <v>45</v>
      </c>
      <c r="G38" s="2">
        <v>1783018675.5302999</v>
      </c>
      <c r="H38" s="2" t="s">
        <v>505</v>
      </c>
      <c r="I38">
        <v>-139</v>
      </c>
      <c r="J38">
        <v>-13.75</v>
      </c>
      <c r="K38">
        <f t="shared" si="0"/>
        <v>5.8697700500488281</v>
      </c>
    </row>
    <row r="39" spans="1:11" x14ac:dyDescent="0.2">
      <c r="A39">
        <v>265383886</v>
      </c>
      <c r="B39" t="s">
        <v>0</v>
      </c>
      <c r="C39" t="s">
        <v>1</v>
      </c>
      <c r="D39">
        <v>200</v>
      </c>
      <c r="E39">
        <v>2</v>
      </c>
      <c r="F39">
        <v>46</v>
      </c>
      <c r="G39" s="2">
        <v>1783018695.6328399</v>
      </c>
      <c r="H39" s="2" t="s">
        <v>506</v>
      </c>
      <c r="I39">
        <v>-140</v>
      </c>
      <c r="J39">
        <v>-15</v>
      </c>
      <c r="K39">
        <f t="shared" si="0"/>
        <v>5.3944699764251709</v>
      </c>
    </row>
    <row r="40" spans="1:11" x14ac:dyDescent="0.2">
      <c r="A40">
        <v>1526486991</v>
      </c>
      <c r="B40" t="s">
        <v>0</v>
      </c>
      <c r="C40" t="s">
        <v>1</v>
      </c>
      <c r="D40">
        <v>200</v>
      </c>
      <c r="E40">
        <v>2</v>
      </c>
      <c r="F40">
        <v>47</v>
      </c>
      <c r="G40" s="2">
        <v>1783018715.7379301</v>
      </c>
      <c r="H40" s="2" t="s">
        <v>507</v>
      </c>
      <c r="I40">
        <v>-138</v>
      </c>
      <c r="J40">
        <v>-13.75</v>
      </c>
      <c r="K40">
        <f t="shared" si="0"/>
        <v>6.4674298763275146</v>
      </c>
    </row>
    <row r="41" spans="1:11" x14ac:dyDescent="0.2">
      <c r="A41">
        <v>1002842064</v>
      </c>
      <c r="B41" t="s">
        <v>0</v>
      </c>
      <c r="C41" t="s">
        <v>1</v>
      </c>
      <c r="D41">
        <v>200</v>
      </c>
      <c r="E41">
        <v>2</v>
      </c>
      <c r="F41">
        <v>48</v>
      </c>
      <c r="G41">
        <v>1783018735.84726</v>
      </c>
      <c r="H41">
        <v>1783018742.13534</v>
      </c>
      <c r="I41">
        <v>-139</v>
      </c>
      <c r="J41">
        <v>-14</v>
      </c>
      <c r="K41">
        <f t="shared" si="0"/>
        <v>6.2880799770355225</v>
      </c>
    </row>
    <row r="42" spans="1:11" x14ac:dyDescent="0.2">
      <c r="A42">
        <v>2959909841</v>
      </c>
      <c r="B42" t="s">
        <v>0</v>
      </c>
      <c r="C42" t="s">
        <v>1</v>
      </c>
      <c r="D42">
        <v>200</v>
      </c>
      <c r="E42">
        <v>2</v>
      </c>
      <c r="F42">
        <v>49</v>
      </c>
      <c r="G42" s="2">
        <v>1783018755.9585299</v>
      </c>
      <c r="H42" s="2" t="s">
        <v>508</v>
      </c>
      <c r="I42">
        <v>-137</v>
      </c>
      <c r="J42">
        <v>-11.75</v>
      </c>
      <c r="K42">
        <f t="shared" si="0"/>
        <v>6.3075499534606934</v>
      </c>
    </row>
    <row r="43" spans="1:11" x14ac:dyDescent="0.2">
      <c r="A43">
        <v>139870162</v>
      </c>
      <c r="B43" t="s">
        <v>0</v>
      </c>
      <c r="C43" t="s">
        <v>1</v>
      </c>
      <c r="D43">
        <v>200</v>
      </c>
      <c r="E43">
        <v>2</v>
      </c>
      <c r="F43">
        <v>50</v>
      </c>
      <c r="G43" s="2">
        <v>1783018776.06795</v>
      </c>
      <c r="H43" s="2" t="s">
        <v>509</v>
      </c>
      <c r="I43">
        <v>-138</v>
      </c>
      <c r="J43">
        <v>-13</v>
      </c>
      <c r="K43">
        <f t="shared" si="0"/>
        <v>7.8566899299621582</v>
      </c>
    </row>
  </sheetData>
  <sortState xmlns:xlrd2="http://schemas.microsoft.com/office/spreadsheetml/2017/richdata2" ref="A1:J43">
    <sortCondition ref="F1:F4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021C-C324-C14F-B01D-C5D71630ECB0}">
  <sheetPr>
    <tabColor rgb="FF92D050"/>
  </sheetPr>
  <dimension ref="A1:D92"/>
  <sheetViews>
    <sheetView topLeftCell="A41" workbookViewId="0">
      <selection activeCell="G65" sqref="G65"/>
    </sheetView>
  </sheetViews>
  <sheetFormatPr baseColWidth="10" defaultRowHeight="16" x14ac:dyDescent="0.2"/>
  <sheetData>
    <row r="1" spans="1:4" x14ac:dyDescent="0.2">
      <c r="A1">
        <v>3688657074</v>
      </c>
      <c r="B1">
        <v>1783017790.74264</v>
      </c>
      <c r="C1">
        <v>-116</v>
      </c>
      <c r="D1">
        <v>5.5</v>
      </c>
    </row>
    <row r="2" spans="1:4" x14ac:dyDescent="0.2">
      <c r="A2">
        <v>4230789320</v>
      </c>
      <c r="B2" s="2" t="s">
        <v>382</v>
      </c>
      <c r="C2">
        <v>-118</v>
      </c>
      <c r="D2">
        <v>5.5</v>
      </c>
    </row>
    <row r="3" spans="1:4" x14ac:dyDescent="0.2">
      <c r="A3">
        <v>1467316129</v>
      </c>
      <c r="B3" s="2" t="s">
        <v>383</v>
      </c>
    </row>
    <row r="4" spans="1:4" x14ac:dyDescent="0.2">
      <c r="A4">
        <v>1467316129</v>
      </c>
      <c r="B4" s="2" t="s">
        <v>384</v>
      </c>
      <c r="C4">
        <v>-118</v>
      </c>
      <c r="D4">
        <v>4.5</v>
      </c>
    </row>
    <row r="5" spans="1:4" x14ac:dyDescent="0.2">
      <c r="A5">
        <v>2273843106</v>
      </c>
      <c r="B5" s="2" t="s">
        <v>385</v>
      </c>
    </row>
    <row r="6" spans="1:4" x14ac:dyDescent="0.2">
      <c r="A6">
        <v>4060368803</v>
      </c>
      <c r="B6" s="2" t="s">
        <v>386</v>
      </c>
    </row>
    <row r="7" spans="1:4" x14ac:dyDescent="0.2">
      <c r="A7">
        <v>1543318436</v>
      </c>
      <c r="B7" s="2" t="s">
        <v>387</v>
      </c>
    </row>
    <row r="8" spans="1:4" x14ac:dyDescent="0.2">
      <c r="A8">
        <v>1999121317</v>
      </c>
      <c r="B8" s="2" t="s">
        <v>388</v>
      </c>
    </row>
    <row r="9" spans="1:4" x14ac:dyDescent="0.2">
      <c r="A9">
        <v>1999121317</v>
      </c>
      <c r="B9" s="2" t="s">
        <v>389</v>
      </c>
      <c r="C9">
        <v>-117</v>
      </c>
      <c r="D9">
        <v>6</v>
      </c>
    </row>
    <row r="10" spans="1:4" x14ac:dyDescent="0.2">
      <c r="A10">
        <v>4272586662</v>
      </c>
      <c r="B10" s="2" t="s">
        <v>390</v>
      </c>
    </row>
    <row r="11" spans="1:4" x14ac:dyDescent="0.2">
      <c r="A11">
        <v>4272586662</v>
      </c>
      <c r="B11" s="2" t="s">
        <v>391</v>
      </c>
      <c r="C11">
        <v>-115</v>
      </c>
      <c r="D11">
        <v>6.25</v>
      </c>
    </row>
    <row r="12" spans="1:4" x14ac:dyDescent="0.2">
      <c r="A12">
        <v>252475303</v>
      </c>
      <c r="B12" s="2" t="s">
        <v>392</v>
      </c>
    </row>
    <row r="13" spans="1:4" x14ac:dyDescent="0.2">
      <c r="A13">
        <v>252475303</v>
      </c>
      <c r="B13" s="2" t="s">
        <v>393</v>
      </c>
      <c r="C13">
        <v>-144</v>
      </c>
      <c r="D13">
        <v>-18.25</v>
      </c>
    </row>
    <row r="14" spans="1:4" x14ac:dyDescent="0.2">
      <c r="A14">
        <v>4172195752</v>
      </c>
      <c r="B14" s="2" t="s">
        <v>394</v>
      </c>
    </row>
    <row r="15" spans="1:4" x14ac:dyDescent="0.2">
      <c r="A15">
        <v>4172195752</v>
      </c>
      <c r="B15" s="2" t="s">
        <v>395</v>
      </c>
      <c r="C15">
        <v>-143</v>
      </c>
      <c r="D15">
        <v>-18.25</v>
      </c>
    </row>
    <row r="16" spans="1:4" x14ac:dyDescent="0.2">
      <c r="A16">
        <v>1477650345</v>
      </c>
      <c r="B16" s="2" t="s">
        <v>396</v>
      </c>
    </row>
    <row r="17" spans="1:4" x14ac:dyDescent="0.2">
      <c r="A17">
        <v>1477650345</v>
      </c>
      <c r="B17" s="2" t="s">
        <v>397</v>
      </c>
      <c r="C17">
        <v>-115</v>
      </c>
      <c r="D17">
        <v>5.5</v>
      </c>
    </row>
    <row r="18" spans="1:4" x14ac:dyDescent="0.2">
      <c r="A18">
        <v>2287170474</v>
      </c>
      <c r="B18" s="2" t="s">
        <v>398</v>
      </c>
      <c r="C18">
        <v>-121</v>
      </c>
      <c r="D18">
        <v>1.5</v>
      </c>
    </row>
    <row r="19" spans="1:4" x14ac:dyDescent="0.2">
      <c r="A19">
        <v>2729804715</v>
      </c>
      <c r="B19" s="2" t="s">
        <v>399</v>
      </c>
    </row>
    <row r="20" spans="1:4" x14ac:dyDescent="0.2">
      <c r="A20">
        <v>2729804715</v>
      </c>
      <c r="B20" s="2" t="s">
        <v>400</v>
      </c>
      <c r="C20">
        <v>-115</v>
      </c>
      <c r="D20">
        <v>6.25</v>
      </c>
    </row>
    <row r="21" spans="1:4" x14ac:dyDescent="0.2">
      <c r="A21">
        <v>3474316204</v>
      </c>
      <c r="B21" s="2" t="s">
        <v>401</v>
      </c>
    </row>
    <row r="22" spans="1:4" x14ac:dyDescent="0.2">
      <c r="A22">
        <v>3474316204</v>
      </c>
      <c r="B22" s="2" t="s">
        <v>402</v>
      </c>
      <c r="C22">
        <v>-116</v>
      </c>
      <c r="D22">
        <v>5.75</v>
      </c>
    </row>
    <row r="23" spans="1:4" x14ac:dyDescent="0.2">
      <c r="A23">
        <v>2904587181</v>
      </c>
      <c r="B23" s="2" t="s">
        <v>403</v>
      </c>
    </row>
    <row r="24" spans="1:4" x14ac:dyDescent="0.2">
      <c r="A24">
        <v>2904587181</v>
      </c>
      <c r="B24" s="2" t="s">
        <v>404</v>
      </c>
      <c r="C24">
        <v>-117</v>
      </c>
      <c r="D24">
        <v>5.25</v>
      </c>
    </row>
    <row r="25" spans="1:4" x14ac:dyDescent="0.2">
      <c r="A25">
        <v>1687119790</v>
      </c>
      <c r="B25" s="2" t="s">
        <v>405</v>
      </c>
    </row>
    <row r="26" spans="1:4" x14ac:dyDescent="0.2">
      <c r="A26">
        <v>1687119790</v>
      </c>
      <c r="B26" s="2" t="s">
        <v>406</v>
      </c>
      <c r="C26">
        <v>-115</v>
      </c>
      <c r="D26">
        <v>6.25</v>
      </c>
    </row>
    <row r="27" spans="1:4" x14ac:dyDescent="0.2">
      <c r="A27">
        <v>1779333039</v>
      </c>
      <c r="B27" s="2" t="s">
        <v>407</v>
      </c>
    </row>
    <row r="28" spans="1:4" x14ac:dyDescent="0.2">
      <c r="A28">
        <v>1779333039</v>
      </c>
      <c r="B28" s="2" t="s">
        <v>408</v>
      </c>
      <c r="C28">
        <v>-117</v>
      </c>
      <c r="D28">
        <v>5.75</v>
      </c>
    </row>
    <row r="29" spans="1:4" x14ac:dyDescent="0.2">
      <c r="A29">
        <v>851579824</v>
      </c>
      <c r="B29" s="2" t="s">
        <v>409</v>
      </c>
    </row>
    <row r="30" spans="1:4" x14ac:dyDescent="0.2">
      <c r="A30">
        <v>851579824</v>
      </c>
      <c r="B30" s="2" t="s">
        <v>410</v>
      </c>
      <c r="C30">
        <v>-117</v>
      </c>
      <c r="D30">
        <v>4.75</v>
      </c>
    </row>
    <row r="31" spans="1:4" x14ac:dyDescent="0.2">
      <c r="A31">
        <v>994146225</v>
      </c>
      <c r="B31" s="2" t="s">
        <v>411</v>
      </c>
    </row>
    <row r="32" spans="1:4" x14ac:dyDescent="0.2">
      <c r="A32">
        <v>994146225</v>
      </c>
      <c r="B32" s="2" t="s">
        <v>412</v>
      </c>
      <c r="C32">
        <v>-116</v>
      </c>
      <c r="D32">
        <v>5.5</v>
      </c>
    </row>
    <row r="33" spans="1:4" x14ac:dyDescent="0.2">
      <c r="A33">
        <v>3343820722</v>
      </c>
      <c r="B33" s="2" t="s">
        <v>413</v>
      </c>
    </row>
    <row r="34" spans="1:4" x14ac:dyDescent="0.2">
      <c r="A34">
        <v>3343820722</v>
      </c>
      <c r="B34">
        <v>1783018142.74419</v>
      </c>
      <c r="C34">
        <v>-116</v>
      </c>
      <c r="D34">
        <v>5.5</v>
      </c>
    </row>
    <row r="35" spans="1:4" x14ac:dyDescent="0.2">
      <c r="A35">
        <v>3392257971</v>
      </c>
      <c r="B35" s="2" t="s">
        <v>414</v>
      </c>
    </row>
    <row r="36" spans="1:4" x14ac:dyDescent="0.2">
      <c r="A36">
        <v>3392257971</v>
      </c>
      <c r="B36" s="2" t="s">
        <v>415</v>
      </c>
      <c r="C36">
        <v>-115</v>
      </c>
      <c r="D36">
        <v>6</v>
      </c>
    </row>
    <row r="37" spans="1:4" x14ac:dyDescent="0.2">
      <c r="A37">
        <v>250540980</v>
      </c>
      <c r="B37" s="2" t="s">
        <v>416</v>
      </c>
    </row>
    <row r="38" spans="1:4" x14ac:dyDescent="0.2">
      <c r="A38">
        <v>250540980</v>
      </c>
      <c r="B38" s="2" t="s">
        <v>417</v>
      </c>
      <c r="C38">
        <v>-114</v>
      </c>
      <c r="D38">
        <v>2.75</v>
      </c>
    </row>
    <row r="39" spans="1:4" x14ac:dyDescent="0.2">
      <c r="A39">
        <v>3071252405</v>
      </c>
      <c r="B39">
        <v>1783018197.21766</v>
      </c>
    </row>
    <row r="40" spans="1:4" x14ac:dyDescent="0.2">
      <c r="A40">
        <v>3071252405</v>
      </c>
      <c r="B40" s="2" t="s">
        <v>418</v>
      </c>
      <c r="C40">
        <v>-115</v>
      </c>
      <c r="D40">
        <v>6</v>
      </c>
    </row>
    <row r="41" spans="1:4" x14ac:dyDescent="0.2">
      <c r="A41">
        <v>2612805558</v>
      </c>
      <c r="B41" s="2" t="s">
        <v>419</v>
      </c>
    </row>
    <row r="42" spans="1:4" x14ac:dyDescent="0.2">
      <c r="A42">
        <v>2612805558</v>
      </c>
      <c r="B42" s="2" t="s">
        <v>420</v>
      </c>
      <c r="C42">
        <v>-119</v>
      </c>
      <c r="D42">
        <v>5.25</v>
      </c>
    </row>
    <row r="43" spans="1:4" x14ac:dyDescent="0.2">
      <c r="A43">
        <v>1055525815</v>
      </c>
      <c r="B43" s="2" t="s">
        <v>421</v>
      </c>
    </row>
    <row r="44" spans="1:4" x14ac:dyDescent="0.2">
      <c r="A44">
        <v>1055525815</v>
      </c>
      <c r="B44" s="2" t="s">
        <v>422</v>
      </c>
      <c r="C44">
        <v>-145</v>
      </c>
      <c r="D44">
        <v>-18.5</v>
      </c>
    </row>
    <row r="45" spans="1:4" x14ac:dyDescent="0.2">
      <c r="A45">
        <v>387171256</v>
      </c>
      <c r="B45" s="2" t="s">
        <v>423</v>
      </c>
    </row>
    <row r="46" spans="1:4" x14ac:dyDescent="0.2">
      <c r="A46">
        <v>387171256</v>
      </c>
      <c r="B46" s="2" t="s">
        <v>424</v>
      </c>
      <c r="C46">
        <v>-114</v>
      </c>
      <c r="D46">
        <v>5.75</v>
      </c>
    </row>
    <row r="47" spans="1:4" x14ac:dyDescent="0.2">
      <c r="A47">
        <v>2653928377</v>
      </c>
      <c r="B47">
        <v>1783018277.6160901</v>
      </c>
    </row>
    <row r="48" spans="1:4" x14ac:dyDescent="0.2">
      <c r="A48">
        <v>2653928377</v>
      </c>
      <c r="B48" s="2" t="s">
        <v>425</v>
      </c>
      <c r="C48">
        <v>-116</v>
      </c>
      <c r="D48">
        <v>5.25</v>
      </c>
    </row>
    <row r="49" spans="1:4" x14ac:dyDescent="0.2">
      <c r="A49">
        <v>4217252794</v>
      </c>
      <c r="B49" s="2" t="s">
        <v>426</v>
      </c>
    </row>
    <row r="50" spans="1:4" x14ac:dyDescent="0.2">
      <c r="A50">
        <v>1256723387</v>
      </c>
      <c r="B50" s="2" t="s">
        <v>427</v>
      </c>
    </row>
    <row r="51" spans="1:4" x14ac:dyDescent="0.2">
      <c r="A51">
        <v>1660974012</v>
      </c>
      <c r="B51" s="2" t="s">
        <v>428</v>
      </c>
    </row>
    <row r="52" spans="1:4" x14ac:dyDescent="0.2">
      <c r="A52">
        <v>247476157</v>
      </c>
      <c r="B52" s="2" t="s">
        <v>429</v>
      </c>
    </row>
    <row r="53" spans="1:4" x14ac:dyDescent="0.2">
      <c r="A53">
        <v>247476157</v>
      </c>
      <c r="B53" s="2" t="s">
        <v>430</v>
      </c>
      <c r="C53">
        <v>-115</v>
      </c>
      <c r="D53">
        <v>6</v>
      </c>
    </row>
    <row r="54" spans="1:4" x14ac:dyDescent="0.2">
      <c r="A54">
        <v>2127561662</v>
      </c>
      <c r="B54" s="2" t="s">
        <v>431</v>
      </c>
    </row>
    <row r="55" spans="1:4" x14ac:dyDescent="0.2">
      <c r="A55">
        <v>1110904767</v>
      </c>
      <c r="B55" s="2" t="s">
        <v>432</v>
      </c>
    </row>
    <row r="56" spans="1:4" x14ac:dyDescent="0.2">
      <c r="A56">
        <v>4170792896</v>
      </c>
      <c r="B56" s="2" t="s">
        <v>433</v>
      </c>
    </row>
    <row r="57" spans="1:4" x14ac:dyDescent="0.2">
      <c r="A57">
        <v>4170792896</v>
      </c>
      <c r="B57" s="2" t="s">
        <v>434</v>
      </c>
      <c r="C57">
        <v>-144</v>
      </c>
      <c r="D57">
        <v>-19.25</v>
      </c>
    </row>
    <row r="58" spans="1:4" x14ac:dyDescent="0.2">
      <c r="A58">
        <v>4049139649</v>
      </c>
      <c r="B58" s="2" t="s">
        <v>435</v>
      </c>
    </row>
    <row r="59" spans="1:4" x14ac:dyDescent="0.2">
      <c r="A59">
        <v>4049139649</v>
      </c>
      <c r="B59" s="2" t="s">
        <v>436</v>
      </c>
      <c r="C59">
        <v>-145</v>
      </c>
      <c r="D59">
        <v>-19.75</v>
      </c>
    </row>
    <row r="60" spans="1:4" x14ac:dyDescent="0.2">
      <c r="A60">
        <v>2422521794</v>
      </c>
      <c r="B60" s="2" t="s">
        <v>437</v>
      </c>
    </row>
    <row r="61" spans="1:4" x14ac:dyDescent="0.2">
      <c r="A61">
        <v>2422521794</v>
      </c>
      <c r="B61" s="2" t="s">
        <v>438</v>
      </c>
      <c r="C61">
        <v>-116</v>
      </c>
      <c r="D61">
        <v>5.5</v>
      </c>
    </row>
    <row r="62" spans="1:4" x14ac:dyDescent="0.2">
      <c r="A62">
        <v>2999637955</v>
      </c>
      <c r="B62" s="2" t="s">
        <v>439</v>
      </c>
    </row>
    <row r="63" spans="1:4" x14ac:dyDescent="0.2">
      <c r="A63">
        <v>2999637955</v>
      </c>
      <c r="B63" s="2" t="s">
        <v>440</v>
      </c>
      <c r="C63">
        <v>-116</v>
      </c>
      <c r="D63">
        <v>5.75</v>
      </c>
    </row>
    <row r="64" spans="1:4" x14ac:dyDescent="0.2">
      <c r="A64">
        <v>1130434500</v>
      </c>
      <c r="B64" s="2" t="s">
        <v>441</v>
      </c>
    </row>
    <row r="65" spans="1:4" x14ac:dyDescent="0.2">
      <c r="A65">
        <v>1130434500</v>
      </c>
      <c r="B65" s="2" t="s">
        <v>442</v>
      </c>
      <c r="C65">
        <v>-117</v>
      </c>
      <c r="D65">
        <v>5.5</v>
      </c>
    </row>
    <row r="66" spans="1:4" x14ac:dyDescent="0.2">
      <c r="A66">
        <v>1174396869</v>
      </c>
      <c r="B66" s="2" t="s">
        <v>443</v>
      </c>
    </row>
    <row r="67" spans="1:4" x14ac:dyDescent="0.2">
      <c r="A67">
        <v>1174396869</v>
      </c>
      <c r="B67" s="2" t="s">
        <v>444</v>
      </c>
      <c r="C67">
        <v>-115</v>
      </c>
      <c r="D67">
        <v>5.5</v>
      </c>
    </row>
    <row r="68" spans="1:4" x14ac:dyDescent="0.2">
      <c r="A68">
        <v>2261360582</v>
      </c>
      <c r="B68" s="2" t="s">
        <v>445</v>
      </c>
    </row>
    <row r="69" spans="1:4" x14ac:dyDescent="0.2">
      <c r="A69">
        <v>2261360582</v>
      </c>
      <c r="B69" s="2" t="s">
        <v>446</v>
      </c>
      <c r="C69">
        <v>-114</v>
      </c>
      <c r="D69">
        <v>6.25</v>
      </c>
    </row>
    <row r="70" spans="1:4" x14ac:dyDescent="0.2">
      <c r="A70">
        <v>3107042247</v>
      </c>
      <c r="B70" s="2" t="s">
        <v>447</v>
      </c>
    </row>
    <row r="71" spans="1:4" x14ac:dyDescent="0.2">
      <c r="A71">
        <v>3107042247</v>
      </c>
      <c r="B71" s="2" t="s">
        <v>448</v>
      </c>
      <c r="C71">
        <v>-143</v>
      </c>
      <c r="D71">
        <v>-17.75</v>
      </c>
    </row>
    <row r="72" spans="1:4" x14ac:dyDescent="0.2">
      <c r="A72">
        <v>618178504</v>
      </c>
      <c r="B72" s="2" t="s">
        <v>449</v>
      </c>
    </row>
    <row r="73" spans="1:4" x14ac:dyDescent="0.2">
      <c r="A73">
        <v>618178504</v>
      </c>
      <c r="B73" s="2" t="s">
        <v>450</v>
      </c>
      <c r="C73">
        <v>-144</v>
      </c>
      <c r="D73">
        <v>-19.25</v>
      </c>
    </row>
    <row r="74" spans="1:4" x14ac:dyDescent="0.2">
      <c r="A74">
        <v>2577157065</v>
      </c>
      <c r="B74" s="2" t="s">
        <v>451</v>
      </c>
    </row>
    <row r="75" spans="1:4" x14ac:dyDescent="0.2">
      <c r="A75">
        <v>2577157065</v>
      </c>
      <c r="B75" s="2" t="s">
        <v>452</v>
      </c>
      <c r="C75">
        <v>-117</v>
      </c>
      <c r="D75">
        <v>6.25</v>
      </c>
    </row>
    <row r="76" spans="1:4" x14ac:dyDescent="0.2">
      <c r="A76">
        <v>1685260234</v>
      </c>
      <c r="B76" s="2" t="s">
        <v>453</v>
      </c>
    </row>
    <row r="77" spans="1:4" x14ac:dyDescent="0.2">
      <c r="A77">
        <v>1685260234</v>
      </c>
      <c r="B77" s="2" t="s">
        <v>454</v>
      </c>
      <c r="C77">
        <v>-115</v>
      </c>
      <c r="D77">
        <v>7.75</v>
      </c>
    </row>
    <row r="78" spans="1:4" x14ac:dyDescent="0.2">
      <c r="A78">
        <v>1037724619</v>
      </c>
      <c r="B78" s="2" t="s">
        <v>455</v>
      </c>
    </row>
    <row r="79" spans="1:4" x14ac:dyDescent="0.2">
      <c r="A79">
        <v>3619554252</v>
      </c>
      <c r="B79" s="2" t="s">
        <v>456</v>
      </c>
    </row>
    <row r="80" spans="1:4" x14ac:dyDescent="0.2">
      <c r="A80">
        <v>3619554252</v>
      </c>
      <c r="B80" s="2" t="s">
        <v>457</v>
      </c>
      <c r="C80">
        <v>-116</v>
      </c>
      <c r="D80">
        <v>5.75</v>
      </c>
    </row>
    <row r="81" spans="1:4" x14ac:dyDescent="0.2">
      <c r="A81">
        <v>2948291533</v>
      </c>
      <c r="B81" s="2" t="s">
        <v>458</v>
      </c>
    </row>
    <row r="82" spans="1:4" x14ac:dyDescent="0.2">
      <c r="A82">
        <v>2948291533</v>
      </c>
      <c r="B82" s="2" t="s">
        <v>459</v>
      </c>
      <c r="C82">
        <v>-143</v>
      </c>
      <c r="D82">
        <v>-17.5</v>
      </c>
    </row>
    <row r="83" spans="1:4" x14ac:dyDescent="0.2">
      <c r="A83">
        <v>265383886</v>
      </c>
      <c r="B83" s="2" t="s">
        <v>460</v>
      </c>
    </row>
    <row r="84" spans="1:4" x14ac:dyDescent="0.2">
      <c r="A84">
        <v>265383886</v>
      </c>
      <c r="B84" s="2" t="s">
        <v>461</v>
      </c>
      <c r="C84">
        <v>-115</v>
      </c>
      <c r="D84">
        <v>4.25</v>
      </c>
    </row>
    <row r="85" spans="1:4" x14ac:dyDescent="0.2">
      <c r="A85">
        <v>1526486991</v>
      </c>
      <c r="B85" s="2" t="s">
        <v>462</v>
      </c>
    </row>
    <row r="86" spans="1:4" x14ac:dyDescent="0.2">
      <c r="A86">
        <v>1526486991</v>
      </c>
      <c r="B86">
        <v>1783018725.9770701</v>
      </c>
      <c r="C86">
        <v>-116</v>
      </c>
      <c r="D86">
        <v>5.25</v>
      </c>
    </row>
    <row r="87" spans="1:4" x14ac:dyDescent="0.2">
      <c r="A87">
        <v>1002842064</v>
      </c>
      <c r="B87" s="2" t="s">
        <v>463</v>
      </c>
    </row>
    <row r="88" spans="1:4" x14ac:dyDescent="0.2">
      <c r="A88">
        <v>1002842064</v>
      </c>
      <c r="B88" s="2" t="s">
        <v>464</v>
      </c>
      <c r="C88">
        <v>-120</v>
      </c>
      <c r="D88">
        <v>5</v>
      </c>
    </row>
    <row r="89" spans="1:4" x14ac:dyDescent="0.2">
      <c r="A89">
        <v>2959909841</v>
      </c>
      <c r="B89" s="2" t="s">
        <v>465</v>
      </c>
    </row>
    <row r="90" spans="1:4" x14ac:dyDescent="0.2">
      <c r="A90">
        <v>2959909841</v>
      </c>
      <c r="B90" s="2" t="s">
        <v>466</v>
      </c>
      <c r="C90">
        <v>-116</v>
      </c>
      <c r="D90">
        <v>5.5</v>
      </c>
    </row>
    <row r="91" spans="1:4" x14ac:dyDescent="0.2">
      <c r="A91">
        <v>139870162</v>
      </c>
      <c r="B91" s="2" t="s">
        <v>467</v>
      </c>
    </row>
    <row r="92" spans="1:4" x14ac:dyDescent="0.2">
      <c r="A92">
        <v>139870162</v>
      </c>
      <c r="B92" s="2" t="s">
        <v>468</v>
      </c>
      <c r="C92">
        <v>-118</v>
      </c>
      <c r="D9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FBC3-E56E-114E-B9AD-4AE3B5EC79CC}">
  <sheetPr>
    <tabColor rgb="FF92D050"/>
  </sheetPr>
  <dimension ref="A1:K94"/>
  <sheetViews>
    <sheetView workbookViewId="0">
      <selection activeCell="N33" sqref="N33"/>
    </sheetView>
  </sheetViews>
  <sheetFormatPr baseColWidth="10" defaultRowHeight="16" x14ac:dyDescent="0.2"/>
  <sheetData>
    <row r="1" spans="1:11" x14ac:dyDescent="0.2">
      <c r="A1">
        <v>691916334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1783020002.6047299</v>
      </c>
      <c r="H1" s="2" t="s">
        <v>603</v>
      </c>
      <c r="I1">
        <v>-137</v>
      </c>
      <c r="J1">
        <v>-12.5</v>
      </c>
      <c r="K1">
        <f>H1-G1</f>
        <v>6.5861999988555908</v>
      </c>
    </row>
    <row r="2" spans="1:11" x14ac:dyDescent="0.2">
      <c r="A2">
        <v>2797798959</v>
      </c>
      <c r="B2" t="s">
        <v>0</v>
      </c>
      <c r="C2" t="s">
        <v>1</v>
      </c>
      <c r="D2">
        <v>200</v>
      </c>
      <c r="E2">
        <v>2</v>
      </c>
      <c r="F2">
        <v>2</v>
      </c>
      <c r="G2" s="2">
        <v>1783020042.7188699</v>
      </c>
      <c r="H2" s="2" t="s">
        <v>604</v>
      </c>
      <c r="I2">
        <v>-139</v>
      </c>
      <c r="J2">
        <v>-13.25</v>
      </c>
      <c r="K2">
        <f t="shared" ref="K2:K46" si="0">H2-G2</f>
        <v>5.7166900634765625</v>
      </c>
    </row>
    <row r="3" spans="1:11" x14ac:dyDescent="0.2">
      <c r="A3">
        <v>1026922032</v>
      </c>
      <c r="B3" t="s">
        <v>0</v>
      </c>
      <c r="C3" t="s">
        <v>1</v>
      </c>
      <c r="D3">
        <v>200</v>
      </c>
      <c r="E3">
        <v>2</v>
      </c>
      <c r="F3">
        <v>3</v>
      </c>
      <c r="G3" s="2">
        <v>1783020082.8336799</v>
      </c>
      <c r="H3" s="2" t="s">
        <v>605</v>
      </c>
      <c r="I3">
        <v>-136</v>
      </c>
      <c r="J3">
        <v>-11.5</v>
      </c>
      <c r="K3">
        <f t="shared" si="0"/>
        <v>6.7555100917816162</v>
      </c>
    </row>
    <row r="4" spans="1:11" x14ac:dyDescent="0.2">
      <c r="A4">
        <v>2238286385</v>
      </c>
      <c r="B4" t="s">
        <v>0</v>
      </c>
      <c r="C4" t="s">
        <v>1</v>
      </c>
      <c r="D4">
        <v>200</v>
      </c>
      <c r="E4">
        <v>2</v>
      </c>
      <c r="F4">
        <v>4</v>
      </c>
      <c r="G4" s="2">
        <v>1783020122.9402599</v>
      </c>
      <c r="H4" s="2" t="s">
        <v>606</v>
      </c>
      <c r="I4">
        <v>-137</v>
      </c>
      <c r="J4">
        <v>-12.75</v>
      </c>
      <c r="K4">
        <f t="shared" si="0"/>
        <v>6.7417600154876709</v>
      </c>
    </row>
    <row r="5" spans="1:11" x14ac:dyDescent="0.2">
      <c r="A5">
        <v>3091546674</v>
      </c>
      <c r="B5" t="s">
        <v>0</v>
      </c>
      <c r="C5" t="s">
        <v>1</v>
      </c>
      <c r="D5">
        <v>200</v>
      </c>
      <c r="E5">
        <v>2</v>
      </c>
      <c r="F5">
        <v>5</v>
      </c>
      <c r="G5" s="2">
        <v>1783020163.0489199</v>
      </c>
      <c r="H5" s="2" t="s">
        <v>607</v>
      </c>
      <c r="I5">
        <v>-138</v>
      </c>
      <c r="J5">
        <v>-12.5</v>
      </c>
      <c r="K5">
        <f t="shared" si="0"/>
        <v>7.0493001937866211</v>
      </c>
    </row>
    <row r="6" spans="1:11" x14ac:dyDescent="0.2">
      <c r="A6">
        <v>1242593843</v>
      </c>
      <c r="B6" t="s">
        <v>0</v>
      </c>
      <c r="C6" t="s">
        <v>1</v>
      </c>
      <c r="D6">
        <v>200</v>
      </c>
      <c r="E6">
        <v>2</v>
      </c>
      <c r="F6">
        <v>6</v>
      </c>
      <c r="G6" s="2">
        <v>1783020203.1594601</v>
      </c>
      <c r="H6" s="2" t="s">
        <v>608</v>
      </c>
      <c r="I6">
        <v>-139</v>
      </c>
      <c r="J6">
        <v>-14.25</v>
      </c>
      <c r="K6">
        <f t="shared" si="0"/>
        <v>6.6500599384307861</v>
      </c>
    </row>
    <row r="7" spans="1:11" x14ac:dyDescent="0.2">
      <c r="A7">
        <v>2466080308</v>
      </c>
      <c r="B7" t="s">
        <v>0</v>
      </c>
      <c r="C7" t="s">
        <v>1</v>
      </c>
      <c r="D7">
        <v>200</v>
      </c>
      <c r="E7">
        <v>2</v>
      </c>
      <c r="F7">
        <v>7</v>
      </c>
      <c r="G7" s="2">
        <v>1783020243.2806201</v>
      </c>
      <c r="H7" s="2" t="s">
        <v>609</v>
      </c>
      <c r="I7">
        <v>-137</v>
      </c>
      <c r="J7">
        <v>-13</v>
      </c>
      <c r="K7">
        <f t="shared" si="0"/>
        <v>7.1653099060058594</v>
      </c>
    </row>
    <row r="8" spans="1:11" x14ac:dyDescent="0.2">
      <c r="A8">
        <v>1131968053</v>
      </c>
      <c r="B8" t="s">
        <v>0</v>
      </c>
      <c r="C8" t="s">
        <v>1</v>
      </c>
      <c r="D8">
        <v>200</v>
      </c>
      <c r="E8">
        <v>2</v>
      </c>
      <c r="F8">
        <v>8</v>
      </c>
      <c r="G8" s="2">
        <v>1783020283.4024799</v>
      </c>
      <c r="H8" s="2" t="s">
        <v>610</v>
      </c>
      <c r="I8">
        <v>-137</v>
      </c>
      <c r="J8">
        <v>-12.25</v>
      </c>
      <c r="K8">
        <f t="shared" si="0"/>
        <v>5.5466001033782959</v>
      </c>
    </row>
    <row r="9" spans="1:11" x14ac:dyDescent="0.2">
      <c r="A9">
        <v>2971797046</v>
      </c>
      <c r="B9" t="s">
        <v>0</v>
      </c>
      <c r="C9" t="s">
        <v>1</v>
      </c>
      <c r="D9">
        <v>200</v>
      </c>
      <c r="E9">
        <v>2</v>
      </c>
      <c r="F9">
        <v>9</v>
      </c>
      <c r="G9" s="2">
        <v>1783020323.5203099</v>
      </c>
      <c r="H9" s="2" t="s">
        <v>611</v>
      </c>
      <c r="I9">
        <v>-141</v>
      </c>
      <c r="J9">
        <v>-15.5</v>
      </c>
      <c r="K9">
        <f t="shared" si="0"/>
        <v>6.4207000732421875</v>
      </c>
    </row>
    <row r="10" spans="1:11" x14ac:dyDescent="0.2">
      <c r="A10">
        <v>1492466231</v>
      </c>
      <c r="B10" t="s">
        <v>0</v>
      </c>
      <c r="C10" t="s">
        <v>1</v>
      </c>
      <c r="D10">
        <v>200</v>
      </c>
      <c r="E10">
        <v>2</v>
      </c>
      <c r="F10">
        <v>10</v>
      </c>
      <c r="G10" s="2">
        <v>1783020363.6375999</v>
      </c>
      <c r="H10" s="2" t="s">
        <v>612</v>
      </c>
      <c r="I10">
        <v>-141</v>
      </c>
      <c r="J10">
        <v>-16.5</v>
      </c>
      <c r="K10">
        <f t="shared" si="0"/>
        <v>5.4937100410461426</v>
      </c>
    </row>
    <row r="11" spans="1:11" x14ac:dyDescent="0.2">
      <c r="A11">
        <v>296775224</v>
      </c>
      <c r="B11" t="s">
        <v>0</v>
      </c>
      <c r="C11" t="s">
        <v>1</v>
      </c>
      <c r="D11">
        <v>200</v>
      </c>
      <c r="E11">
        <v>2</v>
      </c>
      <c r="F11">
        <v>11</v>
      </c>
      <c r="G11" s="2">
        <v>1783020403.75828</v>
      </c>
      <c r="H11" s="2" t="s">
        <v>613</v>
      </c>
      <c r="I11">
        <v>-136</v>
      </c>
      <c r="J11">
        <v>-12</v>
      </c>
      <c r="K11">
        <f t="shared" si="0"/>
        <v>13.440099954605103</v>
      </c>
    </row>
    <row r="12" spans="1:11" x14ac:dyDescent="0.2">
      <c r="A12">
        <v>2548022841</v>
      </c>
      <c r="B12" t="s">
        <v>0</v>
      </c>
      <c r="C12" t="s">
        <v>1</v>
      </c>
      <c r="D12">
        <v>200</v>
      </c>
      <c r="E12">
        <v>2</v>
      </c>
      <c r="F12">
        <v>12</v>
      </c>
      <c r="G12" s="2">
        <v>1783020443.85584</v>
      </c>
      <c r="H12" s="2" t="s">
        <v>614</v>
      </c>
      <c r="I12">
        <v>-138</v>
      </c>
      <c r="J12">
        <v>-13.5</v>
      </c>
      <c r="K12">
        <f t="shared" si="0"/>
        <v>6.7751400470733643</v>
      </c>
    </row>
    <row r="13" spans="1:11" x14ac:dyDescent="0.2">
      <c r="A13">
        <v>1000615482</v>
      </c>
      <c r="B13" t="s">
        <v>0</v>
      </c>
      <c r="C13" t="s">
        <v>1</v>
      </c>
      <c r="D13">
        <v>200</v>
      </c>
      <c r="E13">
        <v>2</v>
      </c>
      <c r="F13">
        <v>13</v>
      </c>
      <c r="G13" s="2">
        <v>1783020483.97</v>
      </c>
      <c r="H13" s="2" t="s">
        <v>615</v>
      </c>
      <c r="I13">
        <v>-138</v>
      </c>
      <c r="J13">
        <v>-12.5</v>
      </c>
      <c r="K13">
        <f t="shared" si="0"/>
        <v>6.0407998561859131</v>
      </c>
    </row>
    <row r="14" spans="1:11" x14ac:dyDescent="0.2">
      <c r="A14">
        <v>246421052</v>
      </c>
      <c r="B14" t="s">
        <v>0</v>
      </c>
      <c r="C14" t="s">
        <v>1</v>
      </c>
      <c r="D14">
        <v>200</v>
      </c>
      <c r="E14">
        <v>2</v>
      </c>
      <c r="F14">
        <v>15</v>
      </c>
      <c r="G14" s="2">
        <v>1783020564.1970401</v>
      </c>
      <c r="H14" s="2" t="s">
        <v>616</v>
      </c>
      <c r="I14">
        <v>-141</v>
      </c>
      <c r="J14">
        <v>-17</v>
      </c>
      <c r="K14">
        <f t="shared" si="0"/>
        <v>12.561009883880615</v>
      </c>
    </row>
    <row r="15" spans="1:11" x14ac:dyDescent="0.2">
      <c r="A15">
        <v>2781242942</v>
      </c>
      <c r="B15" t="s">
        <v>0</v>
      </c>
      <c r="C15" t="s">
        <v>1</v>
      </c>
      <c r="D15">
        <v>200</v>
      </c>
      <c r="E15">
        <v>2</v>
      </c>
      <c r="F15">
        <v>17</v>
      </c>
      <c r="G15" s="2">
        <v>1783020644.4147899</v>
      </c>
      <c r="H15" s="2" t="s">
        <v>617</v>
      </c>
      <c r="I15">
        <v>-137</v>
      </c>
      <c r="J15">
        <v>-13.25</v>
      </c>
      <c r="K15">
        <f t="shared" si="0"/>
        <v>6.2183899879455566</v>
      </c>
    </row>
    <row r="16" spans="1:11" x14ac:dyDescent="0.2">
      <c r="A16">
        <v>1610990143</v>
      </c>
      <c r="B16" t="s">
        <v>0</v>
      </c>
      <c r="C16" t="s">
        <v>1</v>
      </c>
      <c r="D16">
        <v>200</v>
      </c>
      <c r="E16">
        <v>2</v>
      </c>
      <c r="F16">
        <v>18</v>
      </c>
      <c r="G16" s="2">
        <v>1783020684.5262899</v>
      </c>
      <c r="H16" s="2" t="s">
        <v>618</v>
      </c>
      <c r="I16">
        <v>-136</v>
      </c>
      <c r="J16">
        <v>-11</v>
      </c>
      <c r="K16">
        <f t="shared" si="0"/>
        <v>5.3258800506591797</v>
      </c>
    </row>
    <row r="17" spans="1:11" x14ac:dyDescent="0.2">
      <c r="A17">
        <v>2165583425</v>
      </c>
      <c r="B17" t="s">
        <v>0</v>
      </c>
      <c r="C17" t="s">
        <v>1</v>
      </c>
      <c r="D17">
        <v>200</v>
      </c>
      <c r="E17">
        <v>2</v>
      </c>
      <c r="F17">
        <v>20</v>
      </c>
      <c r="G17">
        <v>1783020764.7639401</v>
      </c>
      <c r="H17">
        <v>1783020772.0750899</v>
      </c>
      <c r="I17">
        <v>-138</v>
      </c>
      <c r="J17">
        <v>-14</v>
      </c>
      <c r="K17">
        <f t="shared" si="0"/>
        <v>7.3111498355865479</v>
      </c>
    </row>
    <row r="18" spans="1:11" x14ac:dyDescent="0.2">
      <c r="A18">
        <v>1337506370</v>
      </c>
      <c r="B18" t="s">
        <v>0</v>
      </c>
      <c r="C18" t="s">
        <v>1</v>
      </c>
      <c r="D18">
        <v>200</v>
      </c>
      <c r="E18">
        <v>2</v>
      </c>
      <c r="F18">
        <v>21</v>
      </c>
      <c r="G18" s="2">
        <v>1783020804.8853099</v>
      </c>
      <c r="H18" s="2" t="s">
        <v>619</v>
      </c>
      <c r="I18">
        <v>-137</v>
      </c>
      <c r="J18">
        <v>-13.25</v>
      </c>
      <c r="K18">
        <f t="shared" si="0"/>
        <v>5.8415601253509521</v>
      </c>
    </row>
    <row r="19" spans="1:11" x14ac:dyDescent="0.2">
      <c r="A19">
        <v>810930755</v>
      </c>
      <c r="B19" t="s">
        <v>0</v>
      </c>
      <c r="C19" t="s">
        <v>1</v>
      </c>
      <c r="D19">
        <v>200</v>
      </c>
      <c r="E19">
        <v>2</v>
      </c>
      <c r="F19">
        <v>22</v>
      </c>
      <c r="G19" s="2">
        <v>1783020845.0065501</v>
      </c>
      <c r="H19" s="2" t="s">
        <v>620</v>
      </c>
      <c r="I19">
        <v>-140</v>
      </c>
      <c r="J19">
        <v>-15.25</v>
      </c>
      <c r="K19">
        <f t="shared" si="0"/>
        <v>5.3566699028015137</v>
      </c>
    </row>
    <row r="20" spans="1:11" x14ac:dyDescent="0.2">
      <c r="A20">
        <v>1246384709</v>
      </c>
      <c r="B20" t="s">
        <v>0</v>
      </c>
      <c r="C20" t="s">
        <v>1</v>
      </c>
      <c r="D20">
        <v>200</v>
      </c>
      <c r="E20">
        <v>2</v>
      </c>
      <c r="F20">
        <v>24</v>
      </c>
      <c r="G20" s="2">
        <v>1783020925.24101</v>
      </c>
      <c r="H20" s="2" t="s">
        <v>621</v>
      </c>
      <c r="I20">
        <v>-140</v>
      </c>
      <c r="J20">
        <v>-14.5</v>
      </c>
      <c r="K20">
        <f t="shared" si="0"/>
        <v>5.9903099536895752</v>
      </c>
    </row>
    <row r="21" spans="1:11" x14ac:dyDescent="0.2">
      <c r="A21">
        <v>3421019718</v>
      </c>
      <c r="B21" t="s">
        <v>0</v>
      </c>
      <c r="C21" t="s">
        <v>1</v>
      </c>
      <c r="D21">
        <v>200</v>
      </c>
      <c r="E21">
        <v>2</v>
      </c>
      <c r="F21">
        <v>25</v>
      </c>
      <c r="G21" s="2">
        <v>1783020965.3636401</v>
      </c>
      <c r="H21" s="2" t="s">
        <v>622</v>
      </c>
      <c r="I21">
        <v>-141</v>
      </c>
      <c r="J21">
        <v>-16.25</v>
      </c>
      <c r="K21">
        <f t="shared" si="0"/>
        <v>5.6078300476074219</v>
      </c>
    </row>
    <row r="22" spans="1:11" x14ac:dyDescent="0.2">
      <c r="A22">
        <v>3830065735</v>
      </c>
      <c r="B22" t="s">
        <v>0</v>
      </c>
      <c r="C22" t="s">
        <v>1</v>
      </c>
      <c r="D22">
        <v>200</v>
      </c>
      <c r="E22">
        <v>2</v>
      </c>
      <c r="F22">
        <v>26</v>
      </c>
      <c r="G22" s="2">
        <v>1783021005.4727199</v>
      </c>
      <c r="H22" s="2" t="s">
        <v>623</v>
      </c>
      <c r="I22">
        <v>-138</v>
      </c>
      <c r="J22">
        <v>-12.75</v>
      </c>
      <c r="K22">
        <f t="shared" si="0"/>
        <v>4.6671600341796875</v>
      </c>
    </row>
    <row r="23" spans="1:11" x14ac:dyDescent="0.2">
      <c r="A23">
        <v>238068296</v>
      </c>
      <c r="B23" t="s">
        <v>0</v>
      </c>
      <c r="C23" t="s">
        <v>1</v>
      </c>
      <c r="D23">
        <v>200</v>
      </c>
      <c r="E23">
        <v>2</v>
      </c>
      <c r="F23">
        <v>27</v>
      </c>
      <c r="G23" s="2">
        <v>1783021045.5840399</v>
      </c>
      <c r="H23" s="2" t="s">
        <v>624</v>
      </c>
      <c r="I23">
        <v>-141</v>
      </c>
      <c r="J23">
        <v>-16.25</v>
      </c>
      <c r="K23">
        <f t="shared" si="0"/>
        <v>5.5820801258087158</v>
      </c>
    </row>
    <row r="24" spans="1:11" x14ac:dyDescent="0.2">
      <c r="A24">
        <v>3802525257</v>
      </c>
      <c r="B24" t="s">
        <v>0</v>
      </c>
      <c r="C24" t="s">
        <v>1</v>
      </c>
      <c r="D24">
        <v>200</v>
      </c>
      <c r="E24">
        <v>2</v>
      </c>
      <c r="F24">
        <v>28</v>
      </c>
      <c r="G24" s="2">
        <v>1783021085.6991999</v>
      </c>
      <c r="H24" s="2" t="s">
        <v>625</v>
      </c>
      <c r="I24">
        <v>-139</v>
      </c>
      <c r="J24">
        <v>-15.5</v>
      </c>
      <c r="K24">
        <f t="shared" si="0"/>
        <v>6.5044000148773193</v>
      </c>
    </row>
    <row r="25" spans="1:11" x14ac:dyDescent="0.2">
      <c r="A25">
        <v>3747206730</v>
      </c>
      <c r="B25" t="s">
        <v>0</v>
      </c>
      <c r="C25" t="s">
        <v>1</v>
      </c>
      <c r="D25">
        <v>200</v>
      </c>
      <c r="E25">
        <v>2</v>
      </c>
      <c r="F25">
        <v>29</v>
      </c>
      <c r="G25" s="2">
        <v>1783021125.8185401</v>
      </c>
      <c r="H25" s="2" t="s">
        <v>626</v>
      </c>
      <c r="I25">
        <v>-140</v>
      </c>
      <c r="J25">
        <v>-16</v>
      </c>
      <c r="K25">
        <f t="shared" si="0"/>
        <v>6.5158298015594482</v>
      </c>
    </row>
    <row r="26" spans="1:11" x14ac:dyDescent="0.2">
      <c r="A26">
        <v>1543323211</v>
      </c>
      <c r="B26" t="s">
        <v>0</v>
      </c>
      <c r="C26" t="s">
        <v>1</v>
      </c>
      <c r="D26">
        <v>200</v>
      </c>
      <c r="E26">
        <v>2</v>
      </c>
      <c r="F26">
        <v>30</v>
      </c>
      <c r="G26" s="2">
        <v>1783021165.9398899</v>
      </c>
      <c r="H26" s="2" t="s">
        <v>627</v>
      </c>
      <c r="I26">
        <v>-140</v>
      </c>
      <c r="J26">
        <v>-14.75</v>
      </c>
      <c r="K26">
        <f t="shared" si="0"/>
        <v>5.6925702095031738</v>
      </c>
    </row>
    <row r="27" spans="1:11" x14ac:dyDescent="0.2">
      <c r="A27">
        <v>1945340492</v>
      </c>
      <c r="B27" t="s">
        <v>0</v>
      </c>
      <c r="C27" t="s">
        <v>1</v>
      </c>
      <c r="D27">
        <v>200</v>
      </c>
      <c r="E27">
        <v>2</v>
      </c>
      <c r="F27">
        <v>31</v>
      </c>
      <c r="G27" s="2">
        <v>1783021206.06197</v>
      </c>
      <c r="H27" s="2" t="s">
        <v>628</v>
      </c>
      <c r="I27">
        <v>-138</v>
      </c>
      <c r="J27">
        <v>-13.75</v>
      </c>
      <c r="K27">
        <f t="shared" si="0"/>
        <v>7.1265799999237061</v>
      </c>
    </row>
    <row r="28" spans="1:11" x14ac:dyDescent="0.2">
      <c r="A28">
        <v>459481677</v>
      </c>
      <c r="B28" t="s">
        <v>0</v>
      </c>
      <c r="C28" t="s">
        <v>1</v>
      </c>
      <c r="D28">
        <v>200</v>
      </c>
      <c r="E28">
        <v>2</v>
      </c>
      <c r="F28">
        <v>32</v>
      </c>
      <c r="G28" s="2">
        <v>1783021246.17433</v>
      </c>
      <c r="H28" s="2" t="s">
        <v>629</v>
      </c>
      <c r="I28">
        <v>-139</v>
      </c>
      <c r="J28">
        <v>-14.5</v>
      </c>
      <c r="K28">
        <f t="shared" si="0"/>
        <v>5.6156399250030518</v>
      </c>
    </row>
    <row r="29" spans="1:11" x14ac:dyDescent="0.2">
      <c r="A29">
        <v>1286458958</v>
      </c>
      <c r="B29" t="s">
        <v>0</v>
      </c>
      <c r="C29" t="s">
        <v>1</v>
      </c>
      <c r="D29">
        <v>200</v>
      </c>
      <c r="E29">
        <v>2</v>
      </c>
      <c r="F29">
        <v>33</v>
      </c>
      <c r="G29" s="2">
        <v>1783021286.29282</v>
      </c>
      <c r="H29" s="2" t="s">
        <v>630</v>
      </c>
      <c r="I29">
        <v>-140</v>
      </c>
      <c r="J29">
        <v>-15.5</v>
      </c>
      <c r="K29">
        <f t="shared" si="0"/>
        <v>5.9374399185180664</v>
      </c>
    </row>
    <row r="30" spans="1:11" x14ac:dyDescent="0.2">
      <c r="A30">
        <v>3308435023</v>
      </c>
      <c r="B30" t="s">
        <v>0</v>
      </c>
      <c r="C30" t="s">
        <v>1</v>
      </c>
      <c r="D30">
        <v>204</v>
      </c>
      <c r="E30">
        <v>1</v>
      </c>
      <c r="F30">
        <v>34</v>
      </c>
      <c r="G30" s="2">
        <v>1783021326.4116299</v>
      </c>
      <c r="H30" s="2" t="s">
        <v>631</v>
      </c>
      <c r="I30">
        <v>-145</v>
      </c>
      <c r="J30">
        <v>-20</v>
      </c>
      <c r="K30">
        <f t="shared" si="0"/>
        <v>4.7358801364898682</v>
      </c>
    </row>
    <row r="31" spans="1:11" x14ac:dyDescent="0.2">
      <c r="A31">
        <v>3879831120</v>
      </c>
      <c r="B31" t="s">
        <v>0</v>
      </c>
      <c r="C31" t="s">
        <v>1</v>
      </c>
      <c r="D31">
        <v>200</v>
      </c>
      <c r="E31">
        <v>2</v>
      </c>
      <c r="F31">
        <v>35</v>
      </c>
      <c r="G31" s="2">
        <v>1783021366.5230801</v>
      </c>
      <c r="H31" s="2" t="s">
        <v>632</v>
      </c>
      <c r="I31">
        <v>-137</v>
      </c>
      <c r="J31">
        <v>-13.75</v>
      </c>
      <c r="K31">
        <f t="shared" si="0"/>
        <v>6.3507897853851318</v>
      </c>
    </row>
    <row r="32" spans="1:11" x14ac:dyDescent="0.2">
      <c r="A32">
        <v>2383259217</v>
      </c>
      <c r="B32" t="s">
        <v>0</v>
      </c>
      <c r="C32" t="s">
        <v>1</v>
      </c>
      <c r="D32">
        <v>200</v>
      </c>
      <c r="E32">
        <v>2</v>
      </c>
      <c r="F32">
        <v>36</v>
      </c>
      <c r="G32" s="2">
        <v>1783021406.64398</v>
      </c>
      <c r="H32" s="2" t="s">
        <v>633</v>
      </c>
      <c r="I32">
        <v>-139</v>
      </c>
      <c r="J32">
        <v>-15.25</v>
      </c>
      <c r="K32">
        <f t="shared" si="0"/>
        <v>5.7260000705718994</v>
      </c>
    </row>
    <row r="33" spans="1:11" x14ac:dyDescent="0.2">
      <c r="A33">
        <v>365343314</v>
      </c>
      <c r="B33" t="s">
        <v>0</v>
      </c>
      <c r="C33" t="s">
        <v>1</v>
      </c>
      <c r="D33">
        <v>204</v>
      </c>
      <c r="E33">
        <v>1</v>
      </c>
      <c r="F33">
        <v>37</v>
      </c>
      <c r="G33" s="2">
        <v>1783021446.76489</v>
      </c>
      <c r="H33" s="2" t="s">
        <v>634</v>
      </c>
      <c r="I33">
        <v>-146</v>
      </c>
      <c r="J33">
        <v>-21</v>
      </c>
      <c r="K33">
        <f t="shared" si="0"/>
        <v>10.613110065460205</v>
      </c>
    </row>
    <row r="34" spans="1:11" x14ac:dyDescent="0.2">
      <c r="A34">
        <v>1549847123</v>
      </c>
      <c r="B34" t="s">
        <v>0</v>
      </c>
      <c r="C34" t="s">
        <v>1</v>
      </c>
      <c r="D34">
        <v>200</v>
      </c>
      <c r="E34">
        <v>2</v>
      </c>
      <c r="F34">
        <v>38</v>
      </c>
      <c r="G34" s="2">
        <v>1783021486.87906</v>
      </c>
      <c r="H34" s="2" t="s">
        <v>635</v>
      </c>
      <c r="I34">
        <v>-139</v>
      </c>
      <c r="J34">
        <v>-15.25</v>
      </c>
      <c r="K34">
        <f t="shared" si="0"/>
        <v>6.7447099685668945</v>
      </c>
    </row>
    <row r="35" spans="1:11" x14ac:dyDescent="0.2">
      <c r="A35">
        <v>1711346260</v>
      </c>
      <c r="B35" t="s">
        <v>0</v>
      </c>
      <c r="C35" t="s">
        <v>1</v>
      </c>
      <c r="D35">
        <v>200</v>
      </c>
      <c r="E35">
        <v>2</v>
      </c>
      <c r="F35">
        <v>39</v>
      </c>
      <c r="G35" s="2">
        <v>1783021526.9897299</v>
      </c>
      <c r="H35" s="2" t="s">
        <v>636</v>
      </c>
      <c r="I35">
        <v>-140</v>
      </c>
      <c r="J35">
        <v>-15.5</v>
      </c>
      <c r="K35">
        <f t="shared" si="0"/>
        <v>6.1274001598358154</v>
      </c>
    </row>
    <row r="36" spans="1:11" x14ac:dyDescent="0.2">
      <c r="A36">
        <v>4257538645</v>
      </c>
      <c r="B36" t="s">
        <v>0</v>
      </c>
      <c r="C36" t="s">
        <v>1</v>
      </c>
      <c r="D36">
        <v>200</v>
      </c>
      <c r="E36">
        <v>2</v>
      </c>
      <c r="F36">
        <v>40</v>
      </c>
      <c r="G36" s="2">
        <v>1783021567.1112199</v>
      </c>
      <c r="H36" s="2" t="s">
        <v>637</v>
      </c>
      <c r="I36">
        <v>-137</v>
      </c>
      <c r="J36">
        <v>-14.25</v>
      </c>
      <c r="K36">
        <f t="shared" si="0"/>
        <v>5.2990801334381104</v>
      </c>
    </row>
    <row r="37" spans="1:11" x14ac:dyDescent="0.2">
      <c r="A37">
        <v>3093918294</v>
      </c>
      <c r="B37" t="s">
        <v>0</v>
      </c>
      <c r="C37" t="s">
        <v>1</v>
      </c>
      <c r="D37">
        <v>200</v>
      </c>
      <c r="E37">
        <v>2</v>
      </c>
      <c r="F37">
        <v>41</v>
      </c>
      <c r="G37" s="2">
        <v>1783021607.2316201</v>
      </c>
      <c r="H37" s="2" t="s">
        <v>638</v>
      </c>
      <c r="I37">
        <v>-142</v>
      </c>
      <c r="J37">
        <v>-18.25</v>
      </c>
      <c r="K37">
        <f t="shared" si="0"/>
        <v>8.1124498844146729</v>
      </c>
    </row>
    <row r="38" spans="1:11" x14ac:dyDescent="0.2">
      <c r="A38">
        <v>1811858007</v>
      </c>
      <c r="B38" t="s">
        <v>0</v>
      </c>
      <c r="C38" t="s">
        <v>1</v>
      </c>
      <c r="D38">
        <v>200</v>
      </c>
      <c r="E38">
        <v>2</v>
      </c>
      <c r="F38">
        <v>42</v>
      </c>
      <c r="G38" s="2">
        <v>1783021647.3406701</v>
      </c>
      <c r="H38" s="2" t="s">
        <v>639</v>
      </c>
      <c r="I38">
        <v>-139</v>
      </c>
      <c r="J38">
        <v>-14.25</v>
      </c>
      <c r="K38">
        <f t="shared" si="0"/>
        <v>7.0483798980712891</v>
      </c>
    </row>
    <row r="39" spans="1:11" x14ac:dyDescent="0.2">
      <c r="A39">
        <v>2266272344</v>
      </c>
      <c r="B39" t="s">
        <v>0</v>
      </c>
      <c r="C39" t="s">
        <v>1</v>
      </c>
      <c r="D39">
        <v>200</v>
      </c>
      <c r="E39">
        <v>2</v>
      </c>
      <c r="F39">
        <v>43</v>
      </c>
      <c r="G39" s="2">
        <v>1783021687.4509101</v>
      </c>
      <c r="H39" s="2" t="s">
        <v>640</v>
      </c>
      <c r="I39">
        <v>-139</v>
      </c>
      <c r="J39">
        <v>-14.25</v>
      </c>
      <c r="K39">
        <f t="shared" si="0"/>
        <v>6.9133598804473877</v>
      </c>
    </row>
    <row r="40" spans="1:11" x14ac:dyDescent="0.2">
      <c r="A40">
        <v>3534739033</v>
      </c>
      <c r="B40" t="s">
        <v>0</v>
      </c>
      <c r="C40" t="s">
        <v>1</v>
      </c>
      <c r="D40">
        <v>200</v>
      </c>
      <c r="E40">
        <v>2</v>
      </c>
      <c r="F40">
        <v>44</v>
      </c>
      <c r="G40" s="2">
        <v>1783021727.56587</v>
      </c>
      <c r="H40" s="2" t="s">
        <v>641</v>
      </c>
      <c r="I40">
        <v>-140</v>
      </c>
      <c r="J40">
        <v>-16</v>
      </c>
      <c r="K40">
        <f t="shared" si="0"/>
        <v>5.1281800270080566</v>
      </c>
    </row>
    <row r="41" spans="1:11" x14ac:dyDescent="0.2">
      <c r="A41">
        <v>1234309722</v>
      </c>
      <c r="B41" t="s">
        <v>0</v>
      </c>
      <c r="C41" t="s">
        <v>1</v>
      </c>
      <c r="D41">
        <v>200</v>
      </c>
      <c r="E41">
        <v>2</v>
      </c>
      <c r="F41">
        <v>45</v>
      </c>
      <c r="G41" s="2">
        <v>1783021767.68297</v>
      </c>
      <c r="H41" s="2" t="s">
        <v>642</v>
      </c>
      <c r="I41">
        <v>-137</v>
      </c>
      <c r="J41">
        <v>-12</v>
      </c>
      <c r="K41">
        <f t="shared" si="0"/>
        <v>6.1476199626922607</v>
      </c>
    </row>
    <row r="42" spans="1:11" x14ac:dyDescent="0.2">
      <c r="A42">
        <v>1040801371</v>
      </c>
      <c r="B42" t="s">
        <v>0</v>
      </c>
      <c r="C42" t="s">
        <v>1</v>
      </c>
      <c r="D42">
        <v>200</v>
      </c>
      <c r="E42">
        <v>2</v>
      </c>
      <c r="F42">
        <v>46</v>
      </c>
      <c r="G42" s="2">
        <v>1783021807.80199</v>
      </c>
      <c r="H42" s="2" t="s">
        <v>643</v>
      </c>
      <c r="I42">
        <v>-134</v>
      </c>
      <c r="J42">
        <v>-11.25</v>
      </c>
      <c r="K42">
        <f t="shared" si="0"/>
        <v>5.3716399669647217</v>
      </c>
    </row>
    <row r="43" spans="1:11" x14ac:dyDescent="0.2">
      <c r="A43">
        <v>1696733788</v>
      </c>
      <c r="B43" t="s">
        <v>0</v>
      </c>
      <c r="C43" t="s">
        <v>1</v>
      </c>
      <c r="D43">
        <v>200</v>
      </c>
      <c r="E43">
        <v>2</v>
      </c>
      <c r="F43">
        <v>47</v>
      </c>
      <c r="G43" s="2">
        <v>1783021847.918</v>
      </c>
      <c r="H43" s="2" t="s">
        <v>644</v>
      </c>
      <c r="I43">
        <v>-140</v>
      </c>
      <c r="J43">
        <v>-15</v>
      </c>
      <c r="K43">
        <f t="shared" si="0"/>
        <v>6.8367099761962891</v>
      </c>
    </row>
    <row r="44" spans="1:11" x14ac:dyDescent="0.2">
      <c r="A44">
        <v>1915405917</v>
      </c>
      <c r="B44" t="s">
        <v>0</v>
      </c>
      <c r="C44" t="s">
        <v>1</v>
      </c>
      <c r="D44">
        <v>200</v>
      </c>
      <c r="E44">
        <v>2</v>
      </c>
      <c r="F44">
        <v>48</v>
      </c>
      <c r="G44" s="2">
        <v>1783021888.03666</v>
      </c>
      <c r="H44" s="2" t="s">
        <v>645</v>
      </c>
      <c r="I44">
        <v>-138</v>
      </c>
      <c r="J44">
        <v>-14.25</v>
      </c>
      <c r="K44">
        <f t="shared" si="0"/>
        <v>5.9190199375152588</v>
      </c>
    </row>
    <row r="45" spans="1:11" x14ac:dyDescent="0.2">
      <c r="A45">
        <v>3197930078</v>
      </c>
      <c r="B45" t="s">
        <v>0</v>
      </c>
      <c r="C45" t="s">
        <v>1</v>
      </c>
      <c r="D45">
        <v>200</v>
      </c>
      <c r="E45">
        <v>2</v>
      </c>
      <c r="F45">
        <v>49</v>
      </c>
      <c r="G45" s="2">
        <v>1783021928.1909101</v>
      </c>
      <c r="H45" s="2" t="s">
        <v>646</v>
      </c>
      <c r="I45">
        <v>-139</v>
      </c>
      <c r="J45">
        <v>-14.25</v>
      </c>
      <c r="K45">
        <f t="shared" si="0"/>
        <v>9.4467899799346924</v>
      </c>
    </row>
    <row r="46" spans="1:11" x14ac:dyDescent="0.2">
      <c r="A46">
        <v>2176688735</v>
      </c>
      <c r="B46" t="s">
        <v>0</v>
      </c>
      <c r="C46" t="s">
        <v>1</v>
      </c>
      <c r="D46">
        <v>200</v>
      </c>
      <c r="E46">
        <v>2</v>
      </c>
      <c r="F46">
        <v>50</v>
      </c>
      <c r="G46" s="2">
        <v>1783021968.30041</v>
      </c>
      <c r="H46" s="2" t="s">
        <v>647</v>
      </c>
      <c r="I46">
        <v>-139</v>
      </c>
      <c r="J46">
        <v>-14.25</v>
      </c>
      <c r="K46">
        <f t="shared" si="0"/>
        <v>5.6125099658966064</v>
      </c>
    </row>
    <row r="47" spans="1:11" x14ac:dyDescent="0.2">
      <c r="B47" s="2"/>
    </row>
    <row r="48" spans="1:11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2404-DE59-A24B-BD04-B9FAA56514BC}">
  <sheetPr>
    <tabColor rgb="FF92D050"/>
  </sheetPr>
  <dimension ref="A1:D94"/>
  <sheetViews>
    <sheetView workbookViewId="0">
      <selection sqref="A1:A94"/>
    </sheetView>
  </sheetViews>
  <sheetFormatPr baseColWidth="10" defaultRowHeight="16" x14ac:dyDescent="0.2"/>
  <sheetData>
    <row r="1" spans="1:4" x14ac:dyDescent="0.2">
      <c r="A1">
        <v>691916334</v>
      </c>
      <c r="B1" s="2" t="s">
        <v>510</v>
      </c>
    </row>
    <row r="2" spans="1:4" x14ac:dyDescent="0.2">
      <c r="A2">
        <v>691916334</v>
      </c>
      <c r="B2" s="2" t="s">
        <v>511</v>
      </c>
      <c r="C2">
        <v>-115</v>
      </c>
      <c r="D2">
        <v>5.75</v>
      </c>
    </row>
    <row r="3" spans="1:4" x14ac:dyDescent="0.2">
      <c r="A3">
        <v>2797798959</v>
      </c>
      <c r="B3" s="2" t="s">
        <v>512</v>
      </c>
    </row>
    <row r="4" spans="1:4" x14ac:dyDescent="0.2">
      <c r="A4">
        <v>2797798959</v>
      </c>
      <c r="B4" s="2" t="s">
        <v>513</v>
      </c>
      <c r="C4">
        <v>-145</v>
      </c>
      <c r="D4">
        <v>-20.75</v>
      </c>
    </row>
    <row r="5" spans="1:4" x14ac:dyDescent="0.2">
      <c r="A5">
        <v>1026922032</v>
      </c>
      <c r="B5" s="2" t="s">
        <v>514</v>
      </c>
    </row>
    <row r="6" spans="1:4" x14ac:dyDescent="0.2">
      <c r="A6">
        <v>1026922032</v>
      </c>
      <c r="B6" s="2" t="s">
        <v>515</v>
      </c>
      <c r="C6">
        <v>-116</v>
      </c>
      <c r="D6">
        <v>5.5</v>
      </c>
    </row>
    <row r="7" spans="1:4" x14ac:dyDescent="0.2">
      <c r="A7">
        <v>2238286385</v>
      </c>
      <c r="B7" s="2" t="s">
        <v>516</v>
      </c>
    </row>
    <row r="8" spans="1:4" x14ac:dyDescent="0.2">
      <c r="A8">
        <v>2238286385</v>
      </c>
      <c r="B8" s="2" t="s">
        <v>517</v>
      </c>
      <c r="C8">
        <v>-115</v>
      </c>
      <c r="D8">
        <v>5.5</v>
      </c>
    </row>
    <row r="9" spans="1:4" x14ac:dyDescent="0.2">
      <c r="A9">
        <v>3091546674</v>
      </c>
      <c r="B9" s="2" t="s">
        <v>518</v>
      </c>
    </row>
    <row r="10" spans="1:4" x14ac:dyDescent="0.2">
      <c r="A10">
        <v>3091546674</v>
      </c>
      <c r="B10" s="2" t="s">
        <v>519</v>
      </c>
      <c r="C10">
        <v>-116</v>
      </c>
      <c r="D10">
        <v>5.75</v>
      </c>
    </row>
    <row r="11" spans="1:4" x14ac:dyDescent="0.2">
      <c r="A11">
        <v>1242593843</v>
      </c>
      <c r="B11" s="2" t="s">
        <v>520</v>
      </c>
    </row>
    <row r="12" spans="1:4" x14ac:dyDescent="0.2">
      <c r="A12">
        <v>1242593843</v>
      </c>
      <c r="B12" s="2" t="s">
        <v>521</v>
      </c>
      <c r="C12">
        <v>-116</v>
      </c>
      <c r="D12">
        <v>5.5</v>
      </c>
    </row>
    <row r="13" spans="1:4" x14ac:dyDescent="0.2">
      <c r="A13">
        <v>2466080308</v>
      </c>
      <c r="B13" s="2" t="s">
        <v>522</v>
      </c>
    </row>
    <row r="14" spans="1:4" x14ac:dyDescent="0.2">
      <c r="A14">
        <v>2466080308</v>
      </c>
      <c r="B14" s="2" t="s">
        <v>523</v>
      </c>
      <c r="C14">
        <v>-115</v>
      </c>
      <c r="D14">
        <v>5.5</v>
      </c>
    </row>
    <row r="15" spans="1:4" x14ac:dyDescent="0.2">
      <c r="A15">
        <v>1131968053</v>
      </c>
      <c r="B15" s="2" t="s">
        <v>524</v>
      </c>
    </row>
    <row r="16" spans="1:4" x14ac:dyDescent="0.2">
      <c r="A16">
        <v>1131968053</v>
      </c>
      <c r="B16" s="2" t="s">
        <v>525</v>
      </c>
      <c r="C16">
        <v>-145</v>
      </c>
      <c r="D16">
        <v>-19.5</v>
      </c>
    </row>
    <row r="17" spans="1:4" x14ac:dyDescent="0.2">
      <c r="A17">
        <v>2971797046</v>
      </c>
      <c r="B17" s="2" t="s">
        <v>526</v>
      </c>
    </row>
    <row r="18" spans="1:4" x14ac:dyDescent="0.2">
      <c r="A18">
        <v>2971797046</v>
      </c>
      <c r="B18" s="2" t="s">
        <v>527</v>
      </c>
      <c r="C18">
        <v>-115</v>
      </c>
      <c r="D18">
        <v>5.75</v>
      </c>
    </row>
    <row r="19" spans="1:4" x14ac:dyDescent="0.2">
      <c r="A19">
        <v>1492466231</v>
      </c>
      <c r="B19" s="2" t="s">
        <v>528</v>
      </c>
    </row>
    <row r="20" spans="1:4" x14ac:dyDescent="0.2">
      <c r="A20">
        <v>1492466231</v>
      </c>
      <c r="B20" s="2" t="s">
        <v>529</v>
      </c>
      <c r="C20">
        <v>-116</v>
      </c>
      <c r="D20">
        <v>6</v>
      </c>
    </row>
    <row r="21" spans="1:4" x14ac:dyDescent="0.2">
      <c r="A21">
        <v>296775224</v>
      </c>
      <c r="B21" s="2" t="s">
        <v>530</v>
      </c>
    </row>
    <row r="22" spans="1:4" x14ac:dyDescent="0.2">
      <c r="A22">
        <v>296775224</v>
      </c>
      <c r="B22" s="2" t="s">
        <v>531</v>
      </c>
      <c r="C22">
        <v>-114</v>
      </c>
      <c r="D22">
        <v>7.75</v>
      </c>
    </row>
    <row r="23" spans="1:4" x14ac:dyDescent="0.2">
      <c r="A23">
        <v>2548022841</v>
      </c>
      <c r="B23" s="2" t="s">
        <v>532</v>
      </c>
    </row>
    <row r="24" spans="1:4" x14ac:dyDescent="0.2">
      <c r="A24">
        <v>2548022841</v>
      </c>
      <c r="B24" s="2" t="s">
        <v>533</v>
      </c>
      <c r="C24">
        <v>-114</v>
      </c>
      <c r="D24">
        <v>6.25</v>
      </c>
    </row>
    <row r="25" spans="1:4" x14ac:dyDescent="0.2">
      <c r="A25">
        <v>1000615482</v>
      </c>
      <c r="B25" s="2" t="s">
        <v>534</v>
      </c>
    </row>
    <row r="26" spans="1:4" x14ac:dyDescent="0.2">
      <c r="A26">
        <v>1000615482</v>
      </c>
      <c r="B26" s="2" t="s">
        <v>535</v>
      </c>
      <c r="C26">
        <v>-116</v>
      </c>
      <c r="D26">
        <v>5.75</v>
      </c>
    </row>
    <row r="27" spans="1:4" x14ac:dyDescent="0.2">
      <c r="A27">
        <v>3502227003</v>
      </c>
      <c r="B27" s="2" t="s">
        <v>536</v>
      </c>
    </row>
    <row r="28" spans="1:4" x14ac:dyDescent="0.2">
      <c r="A28">
        <v>246421052</v>
      </c>
      <c r="B28" s="2" t="s">
        <v>537</v>
      </c>
    </row>
    <row r="29" spans="1:4" x14ac:dyDescent="0.2">
      <c r="A29">
        <v>185778749</v>
      </c>
      <c r="B29" s="2" t="s">
        <v>538</v>
      </c>
    </row>
    <row r="30" spans="1:4" x14ac:dyDescent="0.2">
      <c r="A30">
        <v>2781242942</v>
      </c>
      <c r="B30" s="2" t="s">
        <v>539</v>
      </c>
    </row>
    <row r="31" spans="1:4" x14ac:dyDescent="0.2">
      <c r="A31">
        <v>2781242942</v>
      </c>
      <c r="B31" s="2" t="s">
        <v>540</v>
      </c>
      <c r="C31">
        <v>-115</v>
      </c>
      <c r="D31">
        <v>7.25</v>
      </c>
    </row>
    <row r="32" spans="1:4" x14ac:dyDescent="0.2">
      <c r="A32">
        <v>1610990143</v>
      </c>
      <c r="B32" s="2" t="s">
        <v>541</v>
      </c>
    </row>
    <row r="33" spans="1:4" x14ac:dyDescent="0.2">
      <c r="A33">
        <v>1610990143</v>
      </c>
      <c r="B33" s="2" t="s">
        <v>542</v>
      </c>
      <c r="C33">
        <v>-115</v>
      </c>
      <c r="D33">
        <v>6</v>
      </c>
    </row>
    <row r="34" spans="1:4" x14ac:dyDescent="0.2">
      <c r="A34">
        <v>2074893888</v>
      </c>
      <c r="B34" s="2" t="s">
        <v>543</v>
      </c>
    </row>
    <row r="35" spans="1:4" x14ac:dyDescent="0.2">
      <c r="A35">
        <v>2165583425</v>
      </c>
      <c r="B35" s="2" t="s">
        <v>544</v>
      </c>
    </row>
    <row r="36" spans="1:4" x14ac:dyDescent="0.2">
      <c r="A36">
        <v>2165583425</v>
      </c>
      <c r="B36" s="2" t="s">
        <v>545</v>
      </c>
      <c r="C36">
        <v>-114</v>
      </c>
      <c r="D36">
        <v>7.5</v>
      </c>
    </row>
    <row r="37" spans="1:4" x14ac:dyDescent="0.2">
      <c r="A37">
        <v>1337506370</v>
      </c>
      <c r="B37" s="2" t="s">
        <v>546</v>
      </c>
    </row>
    <row r="38" spans="1:4" x14ac:dyDescent="0.2">
      <c r="A38">
        <v>1337506370</v>
      </c>
      <c r="B38" s="2" t="s">
        <v>547</v>
      </c>
      <c r="C38">
        <v>-116</v>
      </c>
      <c r="D38">
        <v>5.5</v>
      </c>
    </row>
    <row r="39" spans="1:4" x14ac:dyDescent="0.2">
      <c r="A39">
        <v>810930755</v>
      </c>
      <c r="B39" s="2" t="s">
        <v>548</v>
      </c>
    </row>
    <row r="40" spans="1:4" x14ac:dyDescent="0.2">
      <c r="A40">
        <v>810930755</v>
      </c>
      <c r="B40" s="2" t="s">
        <v>549</v>
      </c>
      <c r="C40">
        <v>-115</v>
      </c>
      <c r="D40">
        <v>5.25</v>
      </c>
    </row>
    <row r="41" spans="1:4" x14ac:dyDescent="0.2">
      <c r="A41">
        <v>1833735748</v>
      </c>
      <c r="B41" s="2" t="s">
        <v>550</v>
      </c>
    </row>
    <row r="42" spans="1:4" x14ac:dyDescent="0.2">
      <c r="A42">
        <v>1246384709</v>
      </c>
      <c r="B42" s="2" t="s">
        <v>551</v>
      </c>
    </row>
    <row r="43" spans="1:4" x14ac:dyDescent="0.2">
      <c r="A43">
        <v>1246384709</v>
      </c>
      <c r="B43" s="2" t="s">
        <v>552</v>
      </c>
      <c r="C43">
        <v>-115</v>
      </c>
      <c r="D43">
        <v>6.5</v>
      </c>
    </row>
    <row r="44" spans="1:4" x14ac:dyDescent="0.2">
      <c r="A44">
        <v>3421019718</v>
      </c>
      <c r="B44" s="2" t="s">
        <v>553</v>
      </c>
    </row>
    <row r="45" spans="1:4" x14ac:dyDescent="0.2">
      <c r="A45">
        <v>3421019718</v>
      </c>
      <c r="B45" s="2" t="s">
        <v>554</v>
      </c>
      <c r="C45">
        <v>-114</v>
      </c>
      <c r="D45">
        <v>7</v>
      </c>
    </row>
    <row r="46" spans="1:4" x14ac:dyDescent="0.2">
      <c r="A46">
        <v>3830065735</v>
      </c>
      <c r="B46">
        <v>1783021008.1415</v>
      </c>
    </row>
    <row r="47" spans="1:4" x14ac:dyDescent="0.2">
      <c r="A47">
        <v>3830065735</v>
      </c>
      <c r="B47" s="2" t="s">
        <v>555</v>
      </c>
      <c r="C47">
        <v>-114</v>
      </c>
      <c r="D47">
        <v>5.5</v>
      </c>
    </row>
    <row r="48" spans="1:4" x14ac:dyDescent="0.2">
      <c r="A48">
        <v>238068296</v>
      </c>
      <c r="B48" s="2" t="s">
        <v>556</v>
      </c>
    </row>
    <row r="49" spans="1:4" x14ac:dyDescent="0.2">
      <c r="A49">
        <v>238068296</v>
      </c>
      <c r="B49" s="2" t="s">
        <v>557</v>
      </c>
      <c r="C49">
        <v>-144</v>
      </c>
      <c r="D49">
        <v>-19.25</v>
      </c>
    </row>
    <row r="50" spans="1:4" x14ac:dyDescent="0.2">
      <c r="A50">
        <v>3802525257</v>
      </c>
      <c r="B50" s="2" t="s">
        <v>558</v>
      </c>
    </row>
    <row r="51" spans="1:4" x14ac:dyDescent="0.2">
      <c r="A51">
        <v>3802525257</v>
      </c>
      <c r="B51" s="2" t="s">
        <v>559</v>
      </c>
      <c r="C51">
        <v>-115</v>
      </c>
      <c r="D51">
        <v>6.5</v>
      </c>
    </row>
    <row r="52" spans="1:4" x14ac:dyDescent="0.2">
      <c r="A52">
        <v>3747206730</v>
      </c>
      <c r="B52" s="2" t="s">
        <v>560</v>
      </c>
    </row>
    <row r="53" spans="1:4" x14ac:dyDescent="0.2">
      <c r="A53">
        <v>3747206730</v>
      </c>
      <c r="B53" s="2" t="s">
        <v>561</v>
      </c>
      <c r="C53">
        <v>-145</v>
      </c>
      <c r="D53">
        <v>-19.5</v>
      </c>
    </row>
    <row r="54" spans="1:4" x14ac:dyDescent="0.2">
      <c r="A54">
        <v>1543323211</v>
      </c>
      <c r="B54" s="2" t="s">
        <v>562</v>
      </c>
    </row>
    <row r="55" spans="1:4" x14ac:dyDescent="0.2">
      <c r="A55">
        <v>1543323211</v>
      </c>
      <c r="B55" s="2" t="s">
        <v>563</v>
      </c>
      <c r="C55">
        <v>-115</v>
      </c>
      <c r="D55">
        <v>7.25</v>
      </c>
    </row>
    <row r="56" spans="1:4" x14ac:dyDescent="0.2">
      <c r="A56">
        <v>1945340492</v>
      </c>
      <c r="B56" s="2" t="s">
        <v>564</v>
      </c>
    </row>
    <row r="57" spans="1:4" x14ac:dyDescent="0.2">
      <c r="A57">
        <v>1945340492</v>
      </c>
      <c r="B57" s="2" t="s">
        <v>565</v>
      </c>
      <c r="C57">
        <v>-114</v>
      </c>
      <c r="D57">
        <v>6.75</v>
      </c>
    </row>
    <row r="58" spans="1:4" x14ac:dyDescent="0.2">
      <c r="A58">
        <v>459481677</v>
      </c>
      <c r="B58" s="2" t="s">
        <v>566</v>
      </c>
    </row>
    <row r="59" spans="1:4" x14ac:dyDescent="0.2">
      <c r="A59">
        <v>459481677</v>
      </c>
      <c r="B59" s="2" t="s">
        <v>567</v>
      </c>
      <c r="C59">
        <v>-114</v>
      </c>
      <c r="D59">
        <v>6.75</v>
      </c>
    </row>
    <row r="60" spans="1:4" x14ac:dyDescent="0.2">
      <c r="A60">
        <v>1286458958</v>
      </c>
      <c r="B60" s="2" t="s">
        <v>568</v>
      </c>
    </row>
    <row r="61" spans="1:4" x14ac:dyDescent="0.2">
      <c r="A61">
        <v>1286458958</v>
      </c>
      <c r="B61" s="2" t="s">
        <v>569</v>
      </c>
      <c r="C61">
        <v>-115</v>
      </c>
      <c r="D61">
        <v>6.5</v>
      </c>
    </row>
    <row r="62" spans="1:4" x14ac:dyDescent="0.2">
      <c r="A62">
        <v>3308435023</v>
      </c>
      <c r="B62" s="2" t="s">
        <v>570</v>
      </c>
    </row>
    <row r="63" spans="1:4" x14ac:dyDescent="0.2">
      <c r="A63">
        <v>3308435023</v>
      </c>
      <c r="B63" s="2" t="s">
        <v>571</v>
      </c>
      <c r="C63">
        <v>-115</v>
      </c>
      <c r="D63">
        <v>7</v>
      </c>
    </row>
    <row r="64" spans="1:4" x14ac:dyDescent="0.2">
      <c r="A64">
        <v>3879831120</v>
      </c>
      <c r="B64" s="2" t="s">
        <v>572</v>
      </c>
    </row>
    <row r="65" spans="1:4" x14ac:dyDescent="0.2">
      <c r="A65">
        <v>3879831120</v>
      </c>
      <c r="B65" s="2" t="s">
        <v>573</v>
      </c>
      <c r="C65">
        <v>-116</v>
      </c>
      <c r="D65">
        <v>6</v>
      </c>
    </row>
    <row r="66" spans="1:4" x14ac:dyDescent="0.2">
      <c r="A66">
        <v>2383259217</v>
      </c>
      <c r="B66" s="2" t="s">
        <v>574</v>
      </c>
    </row>
    <row r="67" spans="1:4" x14ac:dyDescent="0.2">
      <c r="A67">
        <v>2383259217</v>
      </c>
      <c r="B67" s="2" t="s">
        <v>575</v>
      </c>
      <c r="C67">
        <v>-114</v>
      </c>
      <c r="D67">
        <v>6.5</v>
      </c>
    </row>
    <row r="68" spans="1:4" x14ac:dyDescent="0.2">
      <c r="A68">
        <v>365343314</v>
      </c>
      <c r="B68" s="2" t="s">
        <v>576</v>
      </c>
    </row>
    <row r="69" spans="1:4" x14ac:dyDescent="0.2">
      <c r="A69">
        <v>365343314</v>
      </c>
      <c r="B69" s="2" t="s">
        <v>577</v>
      </c>
      <c r="C69">
        <v>-111</v>
      </c>
      <c r="D69">
        <v>6.75</v>
      </c>
    </row>
    <row r="70" spans="1:4" x14ac:dyDescent="0.2">
      <c r="A70">
        <v>1549847123</v>
      </c>
      <c r="B70" s="2" t="s">
        <v>578</v>
      </c>
    </row>
    <row r="71" spans="1:4" x14ac:dyDescent="0.2">
      <c r="A71">
        <v>1549847123</v>
      </c>
      <c r="B71" s="2" t="s">
        <v>579</v>
      </c>
      <c r="C71">
        <v>-115</v>
      </c>
      <c r="D71">
        <v>5.75</v>
      </c>
    </row>
    <row r="72" spans="1:4" x14ac:dyDescent="0.2">
      <c r="A72">
        <v>1711346260</v>
      </c>
      <c r="B72" s="2" t="s">
        <v>580</v>
      </c>
    </row>
    <row r="73" spans="1:4" x14ac:dyDescent="0.2">
      <c r="A73">
        <v>1711346260</v>
      </c>
      <c r="B73" s="2" t="s">
        <v>581</v>
      </c>
      <c r="C73">
        <v>-115</v>
      </c>
      <c r="D73">
        <v>6</v>
      </c>
    </row>
    <row r="74" spans="1:4" x14ac:dyDescent="0.2">
      <c r="A74">
        <v>4257538645</v>
      </c>
      <c r="B74" s="2" t="s">
        <v>582</v>
      </c>
    </row>
    <row r="75" spans="1:4" x14ac:dyDescent="0.2">
      <c r="A75">
        <v>4257538645</v>
      </c>
      <c r="B75" s="2" t="s">
        <v>583</v>
      </c>
      <c r="C75">
        <v>-145</v>
      </c>
      <c r="D75">
        <v>-19.75</v>
      </c>
    </row>
    <row r="76" spans="1:4" x14ac:dyDescent="0.2">
      <c r="A76">
        <v>3093918294</v>
      </c>
      <c r="B76" s="2" t="s">
        <v>584</v>
      </c>
    </row>
    <row r="77" spans="1:4" x14ac:dyDescent="0.2">
      <c r="A77">
        <v>3093918294</v>
      </c>
      <c r="B77" s="2" t="s">
        <v>585</v>
      </c>
      <c r="C77">
        <v>-113</v>
      </c>
      <c r="D77">
        <v>7</v>
      </c>
    </row>
    <row r="78" spans="1:4" x14ac:dyDescent="0.2">
      <c r="A78">
        <v>1811858007</v>
      </c>
      <c r="B78" s="2" t="s">
        <v>586</v>
      </c>
    </row>
    <row r="79" spans="1:4" x14ac:dyDescent="0.2">
      <c r="A79">
        <v>1811858007</v>
      </c>
      <c r="B79" s="2" t="s">
        <v>587</v>
      </c>
      <c r="C79">
        <v>-115</v>
      </c>
      <c r="D79">
        <v>6</v>
      </c>
    </row>
    <row r="80" spans="1:4" x14ac:dyDescent="0.2">
      <c r="A80">
        <v>2266272344</v>
      </c>
      <c r="B80" s="2" t="s">
        <v>588</v>
      </c>
    </row>
    <row r="81" spans="1:4" x14ac:dyDescent="0.2">
      <c r="A81">
        <v>2266272344</v>
      </c>
      <c r="B81" s="2" t="s">
        <v>589</v>
      </c>
      <c r="C81">
        <v>-116</v>
      </c>
      <c r="D81">
        <v>5.5</v>
      </c>
    </row>
    <row r="82" spans="1:4" x14ac:dyDescent="0.2">
      <c r="A82">
        <v>3534739033</v>
      </c>
      <c r="B82" s="2" t="s">
        <v>590</v>
      </c>
    </row>
    <row r="83" spans="1:4" x14ac:dyDescent="0.2">
      <c r="A83">
        <v>3534739033</v>
      </c>
      <c r="B83" s="2" t="s">
        <v>591</v>
      </c>
      <c r="C83">
        <v>-115</v>
      </c>
      <c r="D83">
        <v>5.75</v>
      </c>
    </row>
    <row r="84" spans="1:4" x14ac:dyDescent="0.2">
      <c r="A84">
        <v>1234309722</v>
      </c>
      <c r="B84" s="2" t="s">
        <v>592</v>
      </c>
    </row>
    <row r="85" spans="1:4" x14ac:dyDescent="0.2">
      <c r="A85">
        <v>1234309722</v>
      </c>
      <c r="B85" s="2" t="s">
        <v>593</v>
      </c>
      <c r="C85">
        <v>-115</v>
      </c>
      <c r="D85">
        <v>4.75</v>
      </c>
    </row>
    <row r="86" spans="1:4" x14ac:dyDescent="0.2">
      <c r="A86">
        <v>1040801371</v>
      </c>
      <c r="B86" s="2" t="s">
        <v>594</v>
      </c>
    </row>
    <row r="87" spans="1:4" x14ac:dyDescent="0.2">
      <c r="A87">
        <v>1040801371</v>
      </c>
      <c r="B87" s="2" t="s">
        <v>595</v>
      </c>
      <c r="C87">
        <v>-116</v>
      </c>
      <c r="D87">
        <v>5.5</v>
      </c>
    </row>
    <row r="88" spans="1:4" x14ac:dyDescent="0.2">
      <c r="A88">
        <v>1696733788</v>
      </c>
      <c r="B88" s="2" t="s">
        <v>596</v>
      </c>
    </row>
    <row r="89" spans="1:4" x14ac:dyDescent="0.2">
      <c r="A89">
        <v>1696733788</v>
      </c>
      <c r="B89" s="2" t="s">
        <v>597</v>
      </c>
      <c r="C89">
        <v>-114</v>
      </c>
      <c r="D89">
        <v>7</v>
      </c>
    </row>
    <row r="90" spans="1:4" x14ac:dyDescent="0.2">
      <c r="A90">
        <v>1915405917</v>
      </c>
      <c r="B90" s="2" t="s">
        <v>598</v>
      </c>
    </row>
    <row r="91" spans="1:4" x14ac:dyDescent="0.2">
      <c r="A91">
        <v>1915405917</v>
      </c>
      <c r="B91" s="2" t="s">
        <v>599</v>
      </c>
      <c r="C91">
        <v>-144</v>
      </c>
      <c r="D91">
        <v>-19.25</v>
      </c>
    </row>
    <row r="92" spans="1:4" x14ac:dyDescent="0.2">
      <c r="A92">
        <v>3197930078</v>
      </c>
      <c r="B92" s="2" t="s">
        <v>600</v>
      </c>
      <c r="C92">
        <v>-116</v>
      </c>
      <c r="D92">
        <v>6</v>
      </c>
    </row>
    <row r="93" spans="1:4" x14ac:dyDescent="0.2">
      <c r="A93">
        <v>2176688735</v>
      </c>
      <c r="B93" s="2" t="s">
        <v>601</v>
      </c>
    </row>
    <row r="94" spans="1:4" x14ac:dyDescent="0.2">
      <c r="A94">
        <v>2176688735</v>
      </c>
      <c r="B94" s="2" t="s">
        <v>602</v>
      </c>
      <c r="C94">
        <v>-112</v>
      </c>
      <c r="D94">
        <v>8.25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FBB-5464-DB40-9DDD-1EBC61483809}">
  <sheetPr>
    <tabColor rgb="FF92D050"/>
  </sheetPr>
  <dimension ref="A1:K49"/>
  <sheetViews>
    <sheetView workbookViewId="0">
      <selection activeCell="M47" sqref="M47"/>
    </sheetView>
  </sheetViews>
  <sheetFormatPr baseColWidth="10" defaultRowHeight="16" x14ac:dyDescent="0.2"/>
  <sheetData>
    <row r="1" spans="1:11" x14ac:dyDescent="0.2">
      <c r="A1">
        <v>3809386175</v>
      </c>
      <c r="B1" t="s">
        <v>0</v>
      </c>
      <c r="C1" t="s">
        <v>1</v>
      </c>
      <c r="D1">
        <v>200</v>
      </c>
      <c r="E1">
        <v>2</v>
      </c>
      <c r="F1">
        <v>1</v>
      </c>
      <c r="G1" s="2">
        <v>1783023214.66342</v>
      </c>
      <c r="H1" s="2" t="s">
        <v>742</v>
      </c>
      <c r="I1">
        <v>-138</v>
      </c>
      <c r="J1">
        <v>-14</v>
      </c>
      <c r="K1">
        <f>H1-G1</f>
        <v>5.6308901309967041</v>
      </c>
    </row>
    <row r="2" spans="1:11" x14ac:dyDescent="0.2">
      <c r="A2">
        <v>247190208</v>
      </c>
      <c r="B2" t="s">
        <v>0</v>
      </c>
      <c r="C2" t="s">
        <v>1</v>
      </c>
      <c r="D2">
        <v>200</v>
      </c>
      <c r="E2">
        <v>2</v>
      </c>
      <c r="F2">
        <v>2</v>
      </c>
      <c r="G2" s="2">
        <v>1783023274.7268901</v>
      </c>
      <c r="H2" s="2" t="s">
        <v>743</v>
      </c>
      <c r="I2">
        <v>-137</v>
      </c>
      <c r="J2">
        <v>-11.5</v>
      </c>
      <c r="K2">
        <f t="shared" ref="K2:K49" si="0">H2-G2</f>
        <v>6.5682899951934814</v>
      </c>
    </row>
    <row r="3" spans="1:11" x14ac:dyDescent="0.2">
      <c r="A3">
        <v>3852823234</v>
      </c>
      <c r="B3" t="s">
        <v>0</v>
      </c>
      <c r="C3" t="s">
        <v>1</v>
      </c>
      <c r="D3">
        <v>200</v>
      </c>
      <c r="E3">
        <v>2</v>
      </c>
      <c r="F3">
        <v>4</v>
      </c>
      <c r="G3" s="2">
        <v>1783023394.9656799</v>
      </c>
      <c r="H3" s="2" t="s">
        <v>744</v>
      </c>
      <c r="I3">
        <v>-135</v>
      </c>
      <c r="J3">
        <v>-11.25</v>
      </c>
      <c r="K3">
        <f t="shared" si="0"/>
        <v>6.480640172958374</v>
      </c>
    </row>
    <row r="4" spans="1:11" x14ac:dyDescent="0.2">
      <c r="A4">
        <v>177872579</v>
      </c>
      <c r="B4" t="s">
        <v>0</v>
      </c>
      <c r="C4" t="s">
        <v>1</v>
      </c>
      <c r="D4">
        <v>200</v>
      </c>
      <c r="E4">
        <v>2</v>
      </c>
      <c r="F4">
        <v>5</v>
      </c>
      <c r="G4" s="2">
        <v>1783023455.08687</v>
      </c>
      <c r="H4" s="2" t="s">
        <v>745</v>
      </c>
      <c r="I4">
        <v>-137</v>
      </c>
      <c r="J4">
        <v>-13.25</v>
      </c>
      <c r="K4">
        <f t="shared" si="0"/>
        <v>5.6336300373077393</v>
      </c>
    </row>
    <row r="5" spans="1:11" x14ac:dyDescent="0.2">
      <c r="A5">
        <v>3330440900</v>
      </c>
      <c r="B5" t="s">
        <v>0</v>
      </c>
      <c r="C5" t="s">
        <v>1</v>
      </c>
      <c r="D5">
        <v>200</v>
      </c>
      <c r="E5">
        <v>2</v>
      </c>
      <c r="F5">
        <v>6</v>
      </c>
      <c r="G5" s="2">
        <v>1783023515.2025101</v>
      </c>
      <c r="H5" s="2" t="s">
        <v>746</v>
      </c>
      <c r="I5">
        <v>-138</v>
      </c>
      <c r="J5">
        <v>-14</v>
      </c>
      <c r="K5">
        <f t="shared" si="0"/>
        <v>7.1609299182891846</v>
      </c>
    </row>
    <row r="6" spans="1:11" x14ac:dyDescent="0.2">
      <c r="A6">
        <v>2838615749</v>
      </c>
      <c r="B6" t="s">
        <v>0</v>
      </c>
      <c r="C6" t="s">
        <v>1</v>
      </c>
      <c r="D6">
        <v>200</v>
      </c>
      <c r="E6">
        <v>2</v>
      </c>
      <c r="F6">
        <v>7</v>
      </c>
      <c r="G6" s="2">
        <v>1783023575.32301</v>
      </c>
      <c r="H6" s="2" t="s">
        <v>747</v>
      </c>
      <c r="I6">
        <v>-138</v>
      </c>
      <c r="J6">
        <v>-12.5</v>
      </c>
      <c r="K6">
        <f t="shared" si="0"/>
        <v>6.5139899253845215</v>
      </c>
    </row>
    <row r="7" spans="1:11" x14ac:dyDescent="0.2">
      <c r="A7">
        <v>3111710406</v>
      </c>
      <c r="B7" t="s">
        <v>0</v>
      </c>
      <c r="C7" t="s">
        <v>1</v>
      </c>
      <c r="D7">
        <v>200</v>
      </c>
      <c r="E7">
        <v>2</v>
      </c>
      <c r="F7">
        <v>8</v>
      </c>
      <c r="G7" s="2">
        <v>1783023635.4446499</v>
      </c>
      <c r="H7" s="2" t="s">
        <v>748</v>
      </c>
      <c r="I7">
        <v>-140</v>
      </c>
      <c r="J7">
        <v>-14.75</v>
      </c>
      <c r="K7">
        <f t="shared" si="0"/>
        <v>6.1414999961853027</v>
      </c>
    </row>
    <row r="8" spans="1:11" x14ac:dyDescent="0.2">
      <c r="A8">
        <v>769615559</v>
      </c>
      <c r="B8" t="s">
        <v>0</v>
      </c>
      <c r="C8" t="s">
        <v>1</v>
      </c>
      <c r="D8">
        <v>200</v>
      </c>
      <c r="E8">
        <v>2</v>
      </c>
      <c r="F8">
        <v>9</v>
      </c>
      <c r="G8" s="2">
        <v>1783023695.5671999</v>
      </c>
      <c r="H8" s="2" t="s">
        <v>749</v>
      </c>
      <c r="I8">
        <v>-137</v>
      </c>
      <c r="J8">
        <v>-12</v>
      </c>
      <c r="K8">
        <f t="shared" si="0"/>
        <v>5.3382501602172852</v>
      </c>
    </row>
    <row r="9" spans="1:11" x14ac:dyDescent="0.2">
      <c r="A9">
        <v>2564463304</v>
      </c>
      <c r="B9" t="s">
        <v>0</v>
      </c>
      <c r="C9" t="s">
        <v>1</v>
      </c>
      <c r="D9">
        <v>200</v>
      </c>
      <c r="E9">
        <v>2</v>
      </c>
      <c r="F9">
        <v>10</v>
      </c>
      <c r="G9" s="2">
        <v>1783023755.69453</v>
      </c>
      <c r="H9" s="2" t="s">
        <v>750</v>
      </c>
      <c r="I9">
        <v>-138</v>
      </c>
      <c r="J9">
        <v>-13.25</v>
      </c>
      <c r="K9">
        <f t="shared" si="0"/>
        <v>6.6258399486541748</v>
      </c>
    </row>
    <row r="10" spans="1:11" x14ac:dyDescent="0.2">
      <c r="A10">
        <v>3326313161</v>
      </c>
      <c r="B10" t="s">
        <v>0</v>
      </c>
      <c r="C10" t="s">
        <v>1</v>
      </c>
      <c r="D10">
        <v>200</v>
      </c>
      <c r="E10">
        <v>2</v>
      </c>
      <c r="F10">
        <v>11</v>
      </c>
      <c r="G10" s="2">
        <v>1783023815.8069601</v>
      </c>
      <c r="H10" s="2" t="s">
        <v>751</v>
      </c>
      <c r="I10">
        <v>-136</v>
      </c>
      <c r="J10">
        <v>-11.75</v>
      </c>
      <c r="K10">
        <f t="shared" si="0"/>
        <v>5.2362899780273438</v>
      </c>
    </row>
    <row r="11" spans="1:11" x14ac:dyDescent="0.2">
      <c r="A11">
        <v>2360782538</v>
      </c>
      <c r="B11" t="s">
        <v>0</v>
      </c>
      <c r="C11" t="s">
        <v>1</v>
      </c>
      <c r="D11">
        <v>200</v>
      </c>
      <c r="E11">
        <v>2</v>
      </c>
      <c r="F11">
        <v>12</v>
      </c>
      <c r="G11" s="2">
        <v>1783023875.90852</v>
      </c>
      <c r="H11" s="2" t="s">
        <v>752</v>
      </c>
      <c r="I11">
        <v>-139</v>
      </c>
      <c r="J11">
        <v>-13.75</v>
      </c>
      <c r="K11">
        <f t="shared" si="0"/>
        <v>6.0700199604034424</v>
      </c>
    </row>
    <row r="12" spans="1:11" x14ac:dyDescent="0.2">
      <c r="A12">
        <v>3521305291</v>
      </c>
      <c r="B12" t="s">
        <v>0</v>
      </c>
      <c r="C12" t="s">
        <v>1</v>
      </c>
      <c r="D12">
        <v>200</v>
      </c>
      <c r="E12">
        <v>2</v>
      </c>
      <c r="F12">
        <v>13</v>
      </c>
      <c r="G12" s="2">
        <v>1783023936.0250199</v>
      </c>
      <c r="H12" s="2" t="s">
        <v>753</v>
      </c>
      <c r="I12">
        <v>-138</v>
      </c>
      <c r="J12">
        <v>-13.25</v>
      </c>
      <c r="K12">
        <f t="shared" si="0"/>
        <v>5.128000020980835</v>
      </c>
    </row>
    <row r="13" spans="1:11" x14ac:dyDescent="0.2">
      <c r="A13">
        <v>633026252</v>
      </c>
      <c r="B13" t="s">
        <v>0</v>
      </c>
      <c r="C13" t="s">
        <v>1</v>
      </c>
      <c r="D13">
        <v>200</v>
      </c>
      <c r="E13">
        <v>2</v>
      </c>
      <c r="F13">
        <v>14</v>
      </c>
      <c r="G13" s="2">
        <v>1783023996.14081</v>
      </c>
      <c r="H13" s="2" t="s">
        <v>754</v>
      </c>
      <c r="I13">
        <v>-137</v>
      </c>
      <c r="J13">
        <v>-11.75</v>
      </c>
      <c r="K13">
        <f t="shared" si="0"/>
        <v>5.3606898784637451</v>
      </c>
    </row>
    <row r="14" spans="1:11" x14ac:dyDescent="0.2">
      <c r="A14">
        <v>144538317</v>
      </c>
      <c r="B14" t="s">
        <v>0</v>
      </c>
      <c r="C14" t="s">
        <v>1</v>
      </c>
      <c r="D14">
        <v>200</v>
      </c>
      <c r="E14">
        <v>2</v>
      </c>
      <c r="F14">
        <v>15</v>
      </c>
      <c r="G14" s="2">
        <v>1783024056.25229</v>
      </c>
      <c r="H14" s="2" t="s">
        <v>755</v>
      </c>
      <c r="I14">
        <v>-137</v>
      </c>
      <c r="J14">
        <v>-11.75</v>
      </c>
      <c r="K14">
        <f t="shared" si="0"/>
        <v>5.4142899513244629</v>
      </c>
    </row>
    <row r="15" spans="1:11" x14ac:dyDescent="0.2">
      <c r="A15">
        <v>3512083150</v>
      </c>
      <c r="B15" t="s">
        <v>0</v>
      </c>
      <c r="C15" t="s">
        <v>1</v>
      </c>
      <c r="D15">
        <v>200</v>
      </c>
      <c r="E15">
        <v>2</v>
      </c>
      <c r="F15">
        <v>16</v>
      </c>
      <c r="G15" s="2">
        <v>1783024116.3577001</v>
      </c>
      <c r="H15" s="2" t="s">
        <v>756</v>
      </c>
      <c r="I15">
        <v>-137</v>
      </c>
      <c r="J15">
        <v>-12.75</v>
      </c>
      <c r="K15">
        <f t="shared" si="0"/>
        <v>7.6841700077056885</v>
      </c>
    </row>
    <row r="16" spans="1:11" x14ac:dyDescent="0.2">
      <c r="A16">
        <v>693467855</v>
      </c>
      <c r="B16" t="s">
        <v>0</v>
      </c>
      <c r="C16" t="s">
        <v>1</v>
      </c>
      <c r="D16">
        <v>200</v>
      </c>
      <c r="E16">
        <v>2</v>
      </c>
      <c r="F16">
        <v>17</v>
      </c>
      <c r="G16" s="2">
        <v>1783024176.4657199</v>
      </c>
      <c r="H16" s="2" t="s">
        <v>757</v>
      </c>
      <c r="I16">
        <v>-139</v>
      </c>
      <c r="J16">
        <v>-14.5</v>
      </c>
      <c r="K16">
        <f t="shared" si="0"/>
        <v>5.3835000991821289</v>
      </c>
    </row>
    <row r="17" spans="1:11" x14ac:dyDescent="0.2">
      <c r="A17">
        <v>2015946448</v>
      </c>
      <c r="B17" t="s">
        <v>0</v>
      </c>
      <c r="C17" t="s">
        <v>1</v>
      </c>
      <c r="D17">
        <v>200</v>
      </c>
      <c r="E17">
        <v>2</v>
      </c>
      <c r="F17">
        <v>18</v>
      </c>
      <c r="G17" s="2">
        <v>1783024236.5768299</v>
      </c>
      <c r="H17" s="2" t="s">
        <v>758</v>
      </c>
      <c r="I17">
        <v>-136</v>
      </c>
      <c r="J17">
        <v>-12</v>
      </c>
      <c r="K17">
        <f t="shared" si="0"/>
        <v>5.8970901966094971</v>
      </c>
    </row>
    <row r="18" spans="1:11" x14ac:dyDescent="0.2">
      <c r="A18">
        <v>1443236561</v>
      </c>
      <c r="B18" t="s">
        <v>0</v>
      </c>
      <c r="C18" t="s">
        <v>1</v>
      </c>
      <c r="D18">
        <v>200</v>
      </c>
      <c r="E18">
        <v>2</v>
      </c>
      <c r="F18">
        <v>19</v>
      </c>
      <c r="G18" s="2">
        <v>1783024296.6946199</v>
      </c>
      <c r="H18" s="2" t="s">
        <v>759</v>
      </c>
      <c r="I18">
        <v>-135</v>
      </c>
      <c r="J18">
        <v>-10</v>
      </c>
      <c r="K18">
        <f t="shared" si="0"/>
        <v>8.1578600406646729</v>
      </c>
    </row>
    <row r="19" spans="1:11" x14ac:dyDescent="0.2">
      <c r="A19">
        <v>97265362</v>
      </c>
      <c r="B19" t="s">
        <v>0</v>
      </c>
      <c r="C19" t="s">
        <v>1</v>
      </c>
      <c r="D19">
        <v>200</v>
      </c>
      <c r="E19">
        <v>2</v>
      </c>
      <c r="F19">
        <v>20</v>
      </c>
      <c r="G19" s="2">
        <v>1783024356.80655</v>
      </c>
      <c r="H19" s="2" t="s">
        <v>760</v>
      </c>
      <c r="I19">
        <v>-137</v>
      </c>
      <c r="J19">
        <v>-12.5</v>
      </c>
      <c r="K19">
        <f t="shared" si="0"/>
        <v>6.3317198753356934</v>
      </c>
    </row>
    <row r="20" spans="1:11" x14ac:dyDescent="0.2">
      <c r="A20">
        <v>2322624211</v>
      </c>
      <c r="B20" t="s">
        <v>0</v>
      </c>
      <c r="C20" t="s">
        <v>1</v>
      </c>
      <c r="D20">
        <v>200</v>
      </c>
      <c r="E20">
        <v>2</v>
      </c>
      <c r="F20">
        <v>21</v>
      </c>
      <c r="G20" s="2">
        <v>1783024416.9123399</v>
      </c>
      <c r="H20" s="2" t="s">
        <v>761</v>
      </c>
      <c r="I20">
        <v>-137</v>
      </c>
      <c r="J20">
        <v>-12</v>
      </c>
      <c r="K20">
        <f t="shared" si="0"/>
        <v>5.2359001636505127</v>
      </c>
    </row>
    <row r="21" spans="1:11" x14ac:dyDescent="0.2">
      <c r="A21">
        <v>3364658900</v>
      </c>
      <c r="B21" t="s">
        <v>0</v>
      </c>
      <c r="C21" t="s">
        <v>1</v>
      </c>
      <c r="D21">
        <v>200</v>
      </c>
      <c r="E21">
        <v>2</v>
      </c>
      <c r="F21">
        <v>22</v>
      </c>
      <c r="G21" s="2">
        <v>1783024477.0210299</v>
      </c>
      <c r="H21" s="2" t="s">
        <v>762</v>
      </c>
      <c r="I21">
        <v>-138</v>
      </c>
      <c r="J21">
        <v>-13</v>
      </c>
      <c r="K21">
        <f t="shared" si="0"/>
        <v>7.022050142288208</v>
      </c>
    </row>
    <row r="22" spans="1:11" x14ac:dyDescent="0.2">
      <c r="A22">
        <v>2605784789</v>
      </c>
      <c r="B22" t="s">
        <v>0</v>
      </c>
      <c r="C22" t="s">
        <v>1</v>
      </c>
      <c r="D22">
        <v>200</v>
      </c>
      <c r="E22">
        <v>2</v>
      </c>
      <c r="F22">
        <v>23</v>
      </c>
      <c r="G22" s="2">
        <v>1783024537.13414</v>
      </c>
      <c r="H22" s="2" t="s">
        <v>763</v>
      </c>
      <c r="I22">
        <v>-139</v>
      </c>
      <c r="J22">
        <v>-13.5</v>
      </c>
      <c r="K22">
        <f t="shared" si="0"/>
        <v>5.4716999530792236</v>
      </c>
    </row>
    <row r="23" spans="1:11" x14ac:dyDescent="0.2">
      <c r="A23">
        <v>3583284950</v>
      </c>
      <c r="B23" t="s">
        <v>0</v>
      </c>
      <c r="C23" t="s">
        <v>1</v>
      </c>
      <c r="D23">
        <v>200</v>
      </c>
      <c r="E23">
        <v>2</v>
      </c>
      <c r="F23">
        <v>24</v>
      </c>
      <c r="G23" s="2">
        <v>1783024597.2553501</v>
      </c>
      <c r="H23" s="2" t="s">
        <v>764</v>
      </c>
      <c r="I23">
        <v>-136</v>
      </c>
      <c r="J23">
        <v>-11.75</v>
      </c>
      <c r="K23">
        <f t="shared" si="0"/>
        <v>5.8548099994659424</v>
      </c>
    </row>
    <row r="24" spans="1:11" x14ac:dyDescent="0.2">
      <c r="A24">
        <v>2970446551</v>
      </c>
      <c r="B24" t="s">
        <v>0</v>
      </c>
      <c r="C24" t="s">
        <v>1</v>
      </c>
      <c r="D24">
        <v>200</v>
      </c>
      <c r="E24">
        <v>2</v>
      </c>
      <c r="F24">
        <v>25</v>
      </c>
      <c r="G24" s="2">
        <v>1783024657.36485</v>
      </c>
      <c r="H24" s="2" t="s">
        <v>765</v>
      </c>
      <c r="I24">
        <v>-137</v>
      </c>
      <c r="J24">
        <v>-14</v>
      </c>
      <c r="K24">
        <f t="shared" si="0"/>
        <v>6.5130400657653809</v>
      </c>
    </row>
    <row r="25" spans="1:11" x14ac:dyDescent="0.2">
      <c r="A25">
        <v>1517395672</v>
      </c>
      <c r="B25" t="s">
        <v>0</v>
      </c>
      <c r="C25" t="s">
        <v>1</v>
      </c>
      <c r="D25">
        <v>200</v>
      </c>
      <c r="E25">
        <v>2</v>
      </c>
      <c r="F25">
        <v>26</v>
      </c>
      <c r="G25" s="2">
        <v>1783024717.4825499</v>
      </c>
      <c r="H25" s="2" t="s">
        <v>766</v>
      </c>
      <c r="I25">
        <v>-138</v>
      </c>
      <c r="J25">
        <v>-12.75</v>
      </c>
      <c r="K25">
        <f t="shared" si="0"/>
        <v>5.9943501949310303</v>
      </c>
    </row>
    <row r="26" spans="1:11" x14ac:dyDescent="0.2">
      <c r="A26">
        <v>65030873</v>
      </c>
      <c r="B26" t="s">
        <v>0</v>
      </c>
      <c r="C26" t="s">
        <v>1</v>
      </c>
      <c r="D26">
        <v>200</v>
      </c>
      <c r="E26">
        <v>2</v>
      </c>
      <c r="F26">
        <v>27</v>
      </c>
      <c r="G26" s="2">
        <v>1783024777.59956</v>
      </c>
      <c r="H26" s="2" t="s">
        <v>767</v>
      </c>
      <c r="I26">
        <v>-136</v>
      </c>
      <c r="J26">
        <v>-12.25</v>
      </c>
      <c r="K26">
        <f t="shared" si="0"/>
        <v>6.3549699783325195</v>
      </c>
    </row>
    <row r="27" spans="1:11" x14ac:dyDescent="0.2">
      <c r="A27">
        <v>3041730266</v>
      </c>
      <c r="B27" t="s">
        <v>0</v>
      </c>
      <c r="C27" t="s">
        <v>1</v>
      </c>
      <c r="D27">
        <v>200</v>
      </c>
      <c r="E27">
        <v>2</v>
      </c>
      <c r="F27">
        <v>28</v>
      </c>
      <c r="G27" s="2">
        <v>1783024837.7132399</v>
      </c>
      <c r="H27" s="2" t="s">
        <v>768</v>
      </c>
      <c r="I27">
        <v>-138</v>
      </c>
      <c r="J27">
        <v>-12.5</v>
      </c>
      <c r="K27">
        <f t="shared" si="0"/>
        <v>9.2404201030731201</v>
      </c>
    </row>
    <row r="28" spans="1:11" x14ac:dyDescent="0.2">
      <c r="A28">
        <v>3859302107</v>
      </c>
      <c r="B28" t="s">
        <v>0</v>
      </c>
      <c r="C28" t="s">
        <v>1</v>
      </c>
      <c r="D28">
        <v>200</v>
      </c>
      <c r="E28">
        <v>2</v>
      </c>
      <c r="F28">
        <v>29</v>
      </c>
      <c r="G28" s="2">
        <v>1783024897.8243001</v>
      </c>
      <c r="H28" s="2" t="s">
        <v>769</v>
      </c>
      <c r="I28">
        <v>-138</v>
      </c>
      <c r="J28">
        <v>-12.75</v>
      </c>
      <c r="K28">
        <f t="shared" si="0"/>
        <v>6.2567398548126221</v>
      </c>
    </row>
    <row r="29" spans="1:11" x14ac:dyDescent="0.2">
      <c r="A29">
        <v>2164387548</v>
      </c>
      <c r="B29" t="s">
        <v>0</v>
      </c>
      <c r="C29" t="s">
        <v>1</v>
      </c>
      <c r="D29">
        <v>200</v>
      </c>
      <c r="E29">
        <v>2</v>
      </c>
      <c r="F29">
        <v>30</v>
      </c>
      <c r="G29" s="2">
        <v>1783024957.94051</v>
      </c>
      <c r="H29" s="2" t="s">
        <v>770</v>
      </c>
      <c r="I29">
        <v>-141</v>
      </c>
      <c r="J29">
        <v>-16.75</v>
      </c>
      <c r="K29">
        <f t="shared" si="0"/>
        <v>5.834820032119751</v>
      </c>
    </row>
    <row r="30" spans="1:11" x14ac:dyDescent="0.2">
      <c r="A30">
        <v>2092009181</v>
      </c>
      <c r="B30" t="s">
        <v>0</v>
      </c>
      <c r="C30" t="s">
        <v>1</v>
      </c>
      <c r="D30">
        <v>200</v>
      </c>
      <c r="E30">
        <v>2</v>
      </c>
      <c r="F30">
        <v>31</v>
      </c>
      <c r="G30" s="2">
        <v>1783025018.0463901</v>
      </c>
      <c r="H30" s="2" t="s">
        <v>771</v>
      </c>
      <c r="I30">
        <v>-137</v>
      </c>
      <c r="J30">
        <v>-12.5</v>
      </c>
      <c r="K30">
        <f t="shared" si="0"/>
        <v>5.2436099052429199</v>
      </c>
    </row>
    <row r="31" spans="1:11" x14ac:dyDescent="0.2">
      <c r="A31">
        <v>4046412510</v>
      </c>
      <c r="B31" t="s">
        <v>0</v>
      </c>
      <c r="C31" t="s">
        <v>1</v>
      </c>
      <c r="D31">
        <v>200</v>
      </c>
      <c r="E31">
        <v>2</v>
      </c>
      <c r="F31">
        <v>32</v>
      </c>
      <c r="G31" s="2">
        <v>1783025078.15977</v>
      </c>
      <c r="H31" s="2" t="s">
        <v>772</v>
      </c>
      <c r="I31">
        <v>-138</v>
      </c>
      <c r="J31">
        <v>-13.75</v>
      </c>
      <c r="K31">
        <f t="shared" si="0"/>
        <v>6.0175800323486328</v>
      </c>
    </row>
    <row r="32" spans="1:11" x14ac:dyDescent="0.2">
      <c r="A32">
        <v>1286437599</v>
      </c>
      <c r="B32" t="s">
        <v>0</v>
      </c>
      <c r="C32" t="s">
        <v>1</v>
      </c>
      <c r="D32">
        <v>200</v>
      </c>
      <c r="E32">
        <v>2</v>
      </c>
      <c r="F32">
        <v>33</v>
      </c>
      <c r="G32" s="2">
        <v>1783025138.27862</v>
      </c>
      <c r="H32" s="2" t="s">
        <v>773</v>
      </c>
      <c r="I32">
        <v>-137</v>
      </c>
      <c r="J32">
        <v>-12.5</v>
      </c>
      <c r="K32">
        <f t="shared" si="0"/>
        <v>6.1787300109863281</v>
      </c>
    </row>
    <row r="33" spans="1:11" x14ac:dyDescent="0.2">
      <c r="A33">
        <v>2166573792</v>
      </c>
      <c r="B33" t="s">
        <v>0</v>
      </c>
      <c r="C33" t="s">
        <v>1</v>
      </c>
      <c r="D33">
        <v>200</v>
      </c>
      <c r="E33">
        <v>2</v>
      </c>
      <c r="F33">
        <v>34</v>
      </c>
      <c r="G33" s="2">
        <v>1783025198.3984101</v>
      </c>
      <c r="H33" s="2" t="s">
        <v>774</v>
      </c>
      <c r="I33">
        <v>-140</v>
      </c>
      <c r="J33">
        <v>-14.5</v>
      </c>
      <c r="K33">
        <f t="shared" si="0"/>
        <v>6.4945099353790283</v>
      </c>
    </row>
    <row r="34" spans="1:11" x14ac:dyDescent="0.2">
      <c r="A34">
        <v>1389883105</v>
      </c>
      <c r="B34" t="s">
        <v>0</v>
      </c>
      <c r="C34" t="s">
        <v>1</v>
      </c>
      <c r="D34">
        <v>200</v>
      </c>
      <c r="E34">
        <v>2</v>
      </c>
      <c r="F34">
        <v>35</v>
      </c>
      <c r="G34" s="2">
        <v>1783025258.51512</v>
      </c>
      <c r="H34" s="2" t="s">
        <v>775</v>
      </c>
      <c r="I34">
        <v>-137</v>
      </c>
      <c r="J34">
        <v>-11.75</v>
      </c>
      <c r="K34">
        <f t="shared" si="0"/>
        <v>5.940619945526123</v>
      </c>
    </row>
    <row r="35" spans="1:11" x14ac:dyDescent="0.2">
      <c r="A35">
        <v>509790946</v>
      </c>
      <c r="B35" t="s">
        <v>0</v>
      </c>
      <c r="C35" t="s">
        <v>1</v>
      </c>
      <c r="D35">
        <v>200</v>
      </c>
      <c r="E35">
        <v>2</v>
      </c>
      <c r="F35">
        <v>36</v>
      </c>
      <c r="G35" s="2">
        <v>1783025318.6312001</v>
      </c>
      <c r="H35" s="2" t="s">
        <v>776</v>
      </c>
      <c r="I35">
        <v>-137</v>
      </c>
      <c r="J35">
        <v>-13.25</v>
      </c>
      <c r="K35">
        <f t="shared" si="0"/>
        <v>6.1514699459075928</v>
      </c>
    </row>
    <row r="36" spans="1:11" x14ac:dyDescent="0.2">
      <c r="A36">
        <v>2754110179</v>
      </c>
      <c r="B36" t="s">
        <v>0</v>
      </c>
      <c r="C36" t="s">
        <v>1</v>
      </c>
      <c r="D36">
        <v>200</v>
      </c>
      <c r="E36">
        <v>2</v>
      </c>
      <c r="F36">
        <v>37</v>
      </c>
      <c r="G36" s="2">
        <v>1783025378.74825</v>
      </c>
      <c r="H36" s="2" t="s">
        <v>777</v>
      </c>
      <c r="I36">
        <v>-138</v>
      </c>
      <c r="J36">
        <v>-12.5</v>
      </c>
      <c r="K36">
        <f t="shared" si="0"/>
        <v>7.1912100315093994</v>
      </c>
    </row>
    <row r="37" spans="1:11" x14ac:dyDescent="0.2">
      <c r="A37">
        <v>323082980</v>
      </c>
      <c r="B37" t="s">
        <v>0</v>
      </c>
      <c r="C37" t="s">
        <v>1</v>
      </c>
      <c r="D37">
        <v>200</v>
      </c>
      <c r="E37">
        <v>2</v>
      </c>
      <c r="F37">
        <v>38</v>
      </c>
      <c r="G37" s="2">
        <v>1783025438.8640399</v>
      </c>
      <c r="H37" s="2" t="s">
        <v>778</v>
      </c>
      <c r="I37">
        <v>-139</v>
      </c>
      <c r="J37">
        <v>-14.5</v>
      </c>
      <c r="K37">
        <f t="shared" si="0"/>
        <v>6.0309901237487793</v>
      </c>
    </row>
    <row r="38" spans="1:11" x14ac:dyDescent="0.2">
      <c r="A38">
        <v>1224223461</v>
      </c>
      <c r="B38" t="s">
        <v>0</v>
      </c>
      <c r="C38" t="s">
        <v>1</v>
      </c>
      <c r="D38">
        <v>200</v>
      </c>
      <c r="E38">
        <v>2</v>
      </c>
      <c r="F38">
        <v>39</v>
      </c>
      <c r="G38" s="2">
        <v>1783025498.9762399</v>
      </c>
      <c r="H38" s="2" t="s">
        <v>779</v>
      </c>
      <c r="I38">
        <v>-139</v>
      </c>
      <c r="J38">
        <v>-14.75</v>
      </c>
      <c r="K38">
        <f t="shared" si="0"/>
        <v>6.7721900939941406</v>
      </c>
    </row>
    <row r="39" spans="1:11" x14ac:dyDescent="0.2">
      <c r="A39">
        <v>1111507686</v>
      </c>
      <c r="B39" t="s">
        <v>0</v>
      </c>
      <c r="C39" t="s">
        <v>1</v>
      </c>
      <c r="D39">
        <v>200</v>
      </c>
      <c r="E39">
        <v>2</v>
      </c>
      <c r="F39">
        <v>40</v>
      </c>
      <c r="G39" s="2">
        <v>1783025559.0994999</v>
      </c>
      <c r="H39" s="2" t="s">
        <v>780</v>
      </c>
      <c r="I39">
        <v>-137</v>
      </c>
      <c r="J39">
        <v>-13.25</v>
      </c>
      <c r="K39">
        <f t="shared" si="0"/>
        <v>6.9251999855041504</v>
      </c>
    </row>
    <row r="40" spans="1:11" x14ac:dyDescent="0.2">
      <c r="A40">
        <v>144429799</v>
      </c>
      <c r="B40" t="s">
        <v>0</v>
      </c>
      <c r="C40" t="s">
        <v>1</v>
      </c>
      <c r="D40">
        <v>200</v>
      </c>
      <c r="E40">
        <v>2</v>
      </c>
      <c r="F40">
        <v>41</v>
      </c>
      <c r="G40" s="2">
        <v>1783025619.2334001</v>
      </c>
      <c r="H40" s="2" t="s">
        <v>781</v>
      </c>
      <c r="I40">
        <v>-138</v>
      </c>
      <c r="J40">
        <v>-12.75</v>
      </c>
      <c r="K40">
        <f t="shared" si="0"/>
        <v>5.2508699893951416</v>
      </c>
    </row>
    <row r="41" spans="1:11" x14ac:dyDescent="0.2">
      <c r="A41">
        <v>4049119976</v>
      </c>
      <c r="B41" t="s">
        <v>0</v>
      </c>
      <c r="C41" t="s">
        <v>1</v>
      </c>
      <c r="D41">
        <v>200</v>
      </c>
      <c r="E41">
        <v>2</v>
      </c>
      <c r="F41">
        <v>42</v>
      </c>
      <c r="G41" s="2">
        <v>1783025679.34058</v>
      </c>
      <c r="H41" s="2" t="s">
        <v>782</v>
      </c>
      <c r="I41">
        <v>-137</v>
      </c>
      <c r="J41">
        <v>-12.75</v>
      </c>
      <c r="K41">
        <f t="shared" si="0"/>
        <v>6.773169994354248</v>
      </c>
    </row>
    <row r="42" spans="1:11" x14ac:dyDescent="0.2">
      <c r="A42">
        <v>849172201</v>
      </c>
      <c r="B42" t="s">
        <v>0</v>
      </c>
      <c r="C42" t="s">
        <v>1</v>
      </c>
      <c r="D42">
        <v>200</v>
      </c>
      <c r="E42">
        <v>2</v>
      </c>
      <c r="F42">
        <v>43</v>
      </c>
      <c r="G42" s="2">
        <v>1783025739.4586899</v>
      </c>
      <c r="H42" s="2" t="s">
        <v>783</v>
      </c>
      <c r="I42">
        <v>-136</v>
      </c>
      <c r="J42">
        <v>-11.25</v>
      </c>
      <c r="K42">
        <f t="shared" si="0"/>
        <v>5.9861800670623779</v>
      </c>
    </row>
    <row r="43" spans="1:11" x14ac:dyDescent="0.2">
      <c r="A43">
        <v>4034040554</v>
      </c>
      <c r="B43" t="s">
        <v>0</v>
      </c>
      <c r="C43" t="s">
        <v>1</v>
      </c>
      <c r="D43">
        <v>200</v>
      </c>
      <c r="E43">
        <v>2</v>
      </c>
      <c r="F43">
        <v>44</v>
      </c>
      <c r="G43" s="2">
        <v>1783025799.5695601</v>
      </c>
      <c r="H43" s="2" t="s">
        <v>784</v>
      </c>
      <c r="I43">
        <v>-137</v>
      </c>
      <c r="J43">
        <v>-12.25</v>
      </c>
      <c r="K43">
        <f t="shared" si="0"/>
        <v>6.6564798355102539</v>
      </c>
    </row>
    <row r="44" spans="1:11" x14ac:dyDescent="0.2">
      <c r="A44">
        <v>1446818539</v>
      </c>
      <c r="B44" t="s">
        <v>0</v>
      </c>
      <c r="C44" t="s">
        <v>1</v>
      </c>
      <c r="D44">
        <v>200</v>
      </c>
      <c r="E44">
        <v>2</v>
      </c>
      <c r="F44">
        <v>45</v>
      </c>
      <c r="G44" s="2">
        <v>1783025859.6872101</v>
      </c>
      <c r="H44" s="2" t="s">
        <v>785</v>
      </c>
      <c r="I44">
        <v>-137</v>
      </c>
      <c r="J44">
        <v>-12.75</v>
      </c>
      <c r="K44">
        <f t="shared" si="0"/>
        <v>7.0653598308563232</v>
      </c>
    </row>
    <row r="45" spans="1:11" x14ac:dyDescent="0.2">
      <c r="A45">
        <v>2395002604</v>
      </c>
      <c r="B45" t="s">
        <v>0</v>
      </c>
      <c r="C45" t="s">
        <v>1</v>
      </c>
      <c r="D45">
        <v>200</v>
      </c>
      <c r="E45">
        <v>2</v>
      </c>
      <c r="F45">
        <v>46</v>
      </c>
      <c r="G45" s="2">
        <v>1783025919.79514</v>
      </c>
      <c r="H45" s="2" t="s">
        <v>786</v>
      </c>
      <c r="I45">
        <v>-137</v>
      </c>
      <c r="J45">
        <v>-13</v>
      </c>
      <c r="K45">
        <f t="shared" si="0"/>
        <v>6.2969799041748047</v>
      </c>
    </row>
    <row r="46" spans="1:11" x14ac:dyDescent="0.2">
      <c r="A46">
        <v>2569959149</v>
      </c>
      <c r="B46" t="s">
        <v>0</v>
      </c>
      <c r="C46" t="s">
        <v>1</v>
      </c>
      <c r="D46">
        <v>200</v>
      </c>
      <c r="E46">
        <v>2</v>
      </c>
      <c r="F46">
        <v>47</v>
      </c>
      <c r="G46" s="2">
        <v>1783025979.9116499</v>
      </c>
      <c r="H46" s="2" t="s">
        <v>787</v>
      </c>
      <c r="I46">
        <v>-138</v>
      </c>
      <c r="J46">
        <v>-13</v>
      </c>
      <c r="K46">
        <f t="shared" si="0"/>
        <v>4.8863201141357422</v>
      </c>
    </row>
    <row r="47" spans="1:11" x14ac:dyDescent="0.2">
      <c r="A47">
        <v>3472019182</v>
      </c>
      <c r="B47" t="s">
        <v>0</v>
      </c>
      <c r="C47" t="s">
        <v>1</v>
      </c>
      <c r="D47">
        <v>200</v>
      </c>
      <c r="E47">
        <v>2</v>
      </c>
      <c r="F47">
        <v>48</v>
      </c>
      <c r="G47" s="2">
        <v>1783026040.01544</v>
      </c>
      <c r="H47" s="2" t="s">
        <v>788</v>
      </c>
      <c r="I47">
        <v>-138</v>
      </c>
      <c r="J47">
        <v>-14</v>
      </c>
      <c r="K47">
        <f t="shared" si="0"/>
        <v>4.682610034942627</v>
      </c>
    </row>
    <row r="48" spans="1:11" x14ac:dyDescent="0.2">
      <c r="A48">
        <v>1765543663</v>
      </c>
      <c r="B48" t="s">
        <v>0</v>
      </c>
      <c r="C48" t="s">
        <v>1</v>
      </c>
      <c r="D48">
        <v>200</v>
      </c>
      <c r="E48">
        <v>2</v>
      </c>
      <c r="F48">
        <v>49</v>
      </c>
      <c r="G48" s="2">
        <v>1783026100.12885</v>
      </c>
      <c r="H48" s="2" t="s">
        <v>789</v>
      </c>
      <c r="I48">
        <v>-136</v>
      </c>
      <c r="J48">
        <v>-12.25</v>
      </c>
      <c r="K48">
        <f t="shared" si="0"/>
        <v>6.6858699321746826</v>
      </c>
    </row>
    <row r="49" spans="1:11" x14ac:dyDescent="0.2">
      <c r="A49">
        <v>2203009776</v>
      </c>
      <c r="B49" t="s">
        <v>0</v>
      </c>
      <c r="C49" t="s">
        <v>1</v>
      </c>
      <c r="D49">
        <v>200</v>
      </c>
      <c r="E49">
        <v>2</v>
      </c>
      <c r="F49">
        <v>50</v>
      </c>
      <c r="G49" s="2">
        <v>1783026160.24424</v>
      </c>
      <c r="H49" s="2" t="s">
        <v>790</v>
      </c>
      <c r="I49">
        <v>-137</v>
      </c>
      <c r="J49">
        <v>-12</v>
      </c>
      <c r="K49">
        <f t="shared" si="0"/>
        <v>6.7509300708770752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5861-3E97-CF4A-81C7-59DE80988EE5}">
  <sheetPr>
    <tabColor rgb="FF92D050"/>
  </sheetPr>
  <dimension ref="A1:D99"/>
  <sheetViews>
    <sheetView workbookViewId="0">
      <selection sqref="A1:A99"/>
    </sheetView>
  </sheetViews>
  <sheetFormatPr baseColWidth="10" defaultRowHeight="16" x14ac:dyDescent="0.2"/>
  <sheetData>
    <row r="1" spans="1:4" x14ac:dyDescent="0.2">
      <c r="A1">
        <v>3809386175</v>
      </c>
      <c r="B1" s="2" t="s">
        <v>648</v>
      </c>
    </row>
    <row r="2" spans="1:4" x14ac:dyDescent="0.2">
      <c r="A2">
        <v>3809386175</v>
      </c>
      <c r="B2" s="2" t="s">
        <v>649</v>
      </c>
      <c r="C2">
        <v>-144</v>
      </c>
      <c r="D2">
        <v>-18.75</v>
      </c>
    </row>
    <row r="3" spans="1:4" x14ac:dyDescent="0.2">
      <c r="A3">
        <v>247190208</v>
      </c>
      <c r="B3" s="2" t="s">
        <v>650</v>
      </c>
    </row>
    <row r="4" spans="1:4" x14ac:dyDescent="0.2">
      <c r="A4">
        <v>247190208</v>
      </c>
      <c r="B4" s="2" t="s">
        <v>651</v>
      </c>
      <c r="C4">
        <v>-141</v>
      </c>
      <c r="D4">
        <v>-17.25</v>
      </c>
    </row>
    <row r="5" spans="1:4" x14ac:dyDescent="0.2">
      <c r="A5">
        <v>3785662145</v>
      </c>
      <c r="B5" s="2" t="s">
        <v>652</v>
      </c>
    </row>
    <row r="6" spans="1:4" x14ac:dyDescent="0.2">
      <c r="A6">
        <v>3852823234</v>
      </c>
      <c r="B6" s="2" t="s">
        <v>653</v>
      </c>
    </row>
    <row r="7" spans="1:4" x14ac:dyDescent="0.2">
      <c r="A7">
        <v>3852823234</v>
      </c>
      <c r="B7" s="2" t="s">
        <v>654</v>
      </c>
      <c r="C7">
        <v>-144</v>
      </c>
      <c r="D7">
        <v>-18.5</v>
      </c>
    </row>
    <row r="8" spans="1:4" x14ac:dyDescent="0.2">
      <c r="A8">
        <v>177872579</v>
      </c>
      <c r="B8" s="2" t="s">
        <v>655</v>
      </c>
    </row>
    <row r="9" spans="1:4" x14ac:dyDescent="0.2">
      <c r="A9">
        <v>177872579</v>
      </c>
      <c r="B9" s="2" t="s">
        <v>656</v>
      </c>
      <c r="C9">
        <v>-114</v>
      </c>
      <c r="D9">
        <v>7.25</v>
      </c>
    </row>
    <row r="10" spans="1:4" x14ac:dyDescent="0.2">
      <c r="A10">
        <v>3330440900</v>
      </c>
      <c r="B10">
        <v>1783023519.4002299</v>
      </c>
    </row>
    <row r="11" spans="1:4" x14ac:dyDescent="0.2">
      <c r="A11">
        <v>3330440900</v>
      </c>
      <c r="B11" s="2" t="s">
        <v>657</v>
      </c>
      <c r="C11">
        <v>-115</v>
      </c>
      <c r="D11">
        <v>5.75</v>
      </c>
    </row>
    <row r="12" spans="1:4" x14ac:dyDescent="0.2">
      <c r="A12">
        <v>2838615749</v>
      </c>
      <c r="B12" s="2" t="s">
        <v>658</v>
      </c>
    </row>
    <row r="13" spans="1:4" x14ac:dyDescent="0.2">
      <c r="A13">
        <v>2838615749</v>
      </c>
      <c r="B13" s="2" t="s">
        <v>659</v>
      </c>
      <c r="C13">
        <v>-115</v>
      </c>
      <c r="D13">
        <v>5.5</v>
      </c>
    </row>
    <row r="14" spans="1:4" x14ac:dyDescent="0.2">
      <c r="A14">
        <v>3111710406</v>
      </c>
      <c r="B14" s="2" t="s">
        <v>660</v>
      </c>
    </row>
    <row r="15" spans="1:4" x14ac:dyDescent="0.2">
      <c r="A15">
        <v>3111710406</v>
      </c>
      <c r="B15" s="2" t="s">
        <v>661</v>
      </c>
      <c r="C15">
        <v>-143</v>
      </c>
      <c r="D15">
        <v>-17.5</v>
      </c>
    </row>
    <row r="16" spans="1:4" x14ac:dyDescent="0.2">
      <c r="A16">
        <v>769615559</v>
      </c>
      <c r="B16" s="2" t="s">
        <v>662</v>
      </c>
    </row>
    <row r="17" spans="1:4" x14ac:dyDescent="0.2">
      <c r="A17">
        <v>769615559</v>
      </c>
      <c r="B17" s="2" t="s">
        <v>663</v>
      </c>
      <c r="C17">
        <v>-115</v>
      </c>
      <c r="D17">
        <v>6.5</v>
      </c>
    </row>
    <row r="18" spans="1:4" x14ac:dyDescent="0.2">
      <c r="A18">
        <v>2564463304</v>
      </c>
      <c r="B18" s="2" t="s">
        <v>664</v>
      </c>
    </row>
    <row r="19" spans="1:4" x14ac:dyDescent="0.2">
      <c r="A19">
        <v>2564463304</v>
      </c>
      <c r="B19" s="2" t="s">
        <v>665</v>
      </c>
      <c r="C19">
        <v>-114</v>
      </c>
      <c r="D19">
        <v>7.5</v>
      </c>
    </row>
    <row r="20" spans="1:4" x14ac:dyDescent="0.2">
      <c r="A20">
        <v>3326313161</v>
      </c>
      <c r="B20" s="2" t="s">
        <v>666</v>
      </c>
    </row>
    <row r="21" spans="1:4" x14ac:dyDescent="0.2">
      <c r="A21">
        <v>3326313161</v>
      </c>
      <c r="B21" s="2" t="s">
        <v>667</v>
      </c>
      <c r="C21">
        <v>-114</v>
      </c>
      <c r="D21">
        <v>6.5</v>
      </c>
    </row>
    <row r="22" spans="1:4" x14ac:dyDescent="0.2">
      <c r="A22">
        <v>2360782538</v>
      </c>
      <c r="B22" s="2" t="s">
        <v>668</v>
      </c>
    </row>
    <row r="23" spans="1:4" x14ac:dyDescent="0.2">
      <c r="A23">
        <v>2360782538</v>
      </c>
      <c r="B23">
        <v>1783023883.91875</v>
      </c>
      <c r="C23">
        <v>-144</v>
      </c>
      <c r="D23">
        <v>-19</v>
      </c>
    </row>
    <row r="24" spans="1:4" x14ac:dyDescent="0.2">
      <c r="A24">
        <v>3521305291</v>
      </c>
      <c r="B24" s="2" t="s">
        <v>669</v>
      </c>
    </row>
    <row r="25" spans="1:4" x14ac:dyDescent="0.2">
      <c r="A25">
        <v>3521305291</v>
      </c>
      <c r="B25" s="2" t="s">
        <v>670</v>
      </c>
      <c r="C25">
        <v>-116</v>
      </c>
      <c r="D25">
        <v>6</v>
      </c>
    </row>
    <row r="26" spans="1:4" x14ac:dyDescent="0.2">
      <c r="A26">
        <v>633026252</v>
      </c>
      <c r="B26" s="2" t="s">
        <v>671</v>
      </c>
    </row>
    <row r="27" spans="1:4" x14ac:dyDescent="0.2">
      <c r="A27">
        <v>633026252</v>
      </c>
      <c r="B27" s="2" t="s">
        <v>672</v>
      </c>
      <c r="C27">
        <v>-114</v>
      </c>
      <c r="D27">
        <v>6.5</v>
      </c>
    </row>
    <row r="28" spans="1:4" x14ac:dyDescent="0.2">
      <c r="A28">
        <v>144538317</v>
      </c>
      <c r="B28" s="2" t="s">
        <v>673</v>
      </c>
    </row>
    <row r="29" spans="1:4" x14ac:dyDescent="0.2">
      <c r="A29">
        <v>144538317</v>
      </c>
      <c r="B29" s="2" t="s">
        <v>674</v>
      </c>
      <c r="C29">
        <v>-114</v>
      </c>
      <c r="D29">
        <v>7</v>
      </c>
    </row>
    <row r="30" spans="1:4" x14ac:dyDescent="0.2">
      <c r="A30">
        <v>3512083150</v>
      </c>
      <c r="B30" s="2" t="s">
        <v>675</v>
      </c>
    </row>
    <row r="31" spans="1:4" x14ac:dyDescent="0.2">
      <c r="A31">
        <v>3512083150</v>
      </c>
      <c r="B31" s="2" t="s">
        <v>676</v>
      </c>
      <c r="C31">
        <v>-143</v>
      </c>
      <c r="D31">
        <v>-19</v>
      </c>
    </row>
    <row r="32" spans="1:4" x14ac:dyDescent="0.2">
      <c r="A32">
        <v>693467855</v>
      </c>
      <c r="B32" s="2" t="s">
        <v>677</v>
      </c>
    </row>
    <row r="33" spans="1:4" x14ac:dyDescent="0.2">
      <c r="A33">
        <v>693467855</v>
      </c>
      <c r="B33" s="2" t="s">
        <v>678</v>
      </c>
      <c r="C33">
        <v>-115</v>
      </c>
      <c r="D33">
        <v>7.25</v>
      </c>
    </row>
    <row r="34" spans="1:4" x14ac:dyDescent="0.2">
      <c r="A34">
        <v>2015946448</v>
      </c>
      <c r="B34" s="2" t="s">
        <v>679</v>
      </c>
    </row>
    <row r="35" spans="1:4" x14ac:dyDescent="0.2">
      <c r="A35">
        <v>2015946448</v>
      </c>
      <c r="B35">
        <v>1783024246.02162</v>
      </c>
      <c r="C35">
        <v>-116</v>
      </c>
      <c r="D35">
        <v>6</v>
      </c>
    </row>
    <row r="36" spans="1:4" x14ac:dyDescent="0.2">
      <c r="A36">
        <v>1443236561</v>
      </c>
      <c r="B36" s="2" t="s">
        <v>680</v>
      </c>
    </row>
    <row r="37" spans="1:4" x14ac:dyDescent="0.2">
      <c r="A37">
        <v>1443236561</v>
      </c>
      <c r="B37" s="2" t="s">
        <v>681</v>
      </c>
      <c r="C37">
        <v>-114</v>
      </c>
      <c r="D37">
        <v>6.25</v>
      </c>
    </row>
    <row r="38" spans="1:4" x14ac:dyDescent="0.2">
      <c r="A38">
        <v>97265362</v>
      </c>
      <c r="B38" s="2" t="s">
        <v>682</v>
      </c>
    </row>
    <row r="39" spans="1:4" x14ac:dyDescent="0.2">
      <c r="A39">
        <v>97265362</v>
      </c>
      <c r="B39" s="2" t="s">
        <v>683</v>
      </c>
      <c r="C39">
        <v>-145</v>
      </c>
      <c r="D39">
        <v>-19.5</v>
      </c>
    </row>
    <row r="40" spans="1:4" x14ac:dyDescent="0.2">
      <c r="A40">
        <v>2322624211</v>
      </c>
      <c r="B40" s="2" t="s">
        <v>684</v>
      </c>
    </row>
    <row r="41" spans="1:4" x14ac:dyDescent="0.2">
      <c r="A41">
        <v>2322624211</v>
      </c>
      <c r="B41" s="2" t="s">
        <v>685</v>
      </c>
      <c r="C41">
        <v>-115</v>
      </c>
      <c r="D41">
        <v>6.5</v>
      </c>
    </row>
    <row r="42" spans="1:4" x14ac:dyDescent="0.2">
      <c r="A42">
        <v>3364658900</v>
      </c>
      <c r="B42" s="2" t="s">
        <v>686</v>
      </c>
    </row>
    <row r="43" spans="1:4" x14ac:dyDescent="0.2">
      <c r="A43">
        <v>3364658900</v>
      </c>
      <c r="B43" s="2" t="s">
        <v>687</v>
      </c>
      <c r="C43">
        <v>-114</v>
      </c>
      <c r="D43">
        <v>7</v>
      </c>
    </row>
    <row r="44" spans="1:4" x14ac:dyDescent="0.2">
      <c r="A44">
        <v>2605784789</v>
      </c>
      <c r="B44" s="2" t="s">
        <v>688</v>
      </c>
    </row>
    <row r="45" spans="1:4" x14ac:dyDescent="0.2">
      <c r="A45">
        <v>2605784789</v>
      </c>
      <c r="B45" s="2" t="s">
        <v>689</v>
      </c>
      <c r="C45">
        <v>-142</v>
      </c>
      <c r="D45">
        <v>-20</v>
      </c>
    </row>
    <row r="46" spans="1:4" x14ac:dyDescent="0.2">
      <c r="A46">
        <v>3583284950</v>
      </c>
      <c r="B46" s="2" t="s">
        <v>690</v>
      </c>
    </row>
    <row r="47" spans="1:4" x14ac:dyDescent="0.2">
      <c r="A47">
        <v>3583284950</v>
      </c>
      <c r="B47" s="2" t="s">
        <v>691</v>
      </c>
      <c r="C47">
        <v>-115</v>
      </c>
      <c r="D47">
        <v>6.5</v>
      </c>
    </row>
    <row r="48" spans="1:4" x14ac:dyDescent="0.2">
      <c r="A48">
        <v>2970446551</v>
      </c>
      <c r="B48" s="2" t="s">
        <v>692</v>
      </c>
    </row>
    <row r="49" spans="1:4" x14ac:dyDescent="0.2">
      <c r="A49">
        <v>2970446551</v>
      </c>
      <c r="B49" s="2" t="s">
        <v>693</v>
      </c>
      <c r="C49">
        <v>-115</v>
      </c>
      <c r="D49">
        <v>5.75</v>
      </c>
    </row>
    <row r="50" spans="1:4" x14ac:dyDescent="0.2">
      <c r="A50">
        <v>1517395672</v>
      </c>
      <c r="B50" s="2" t="s">
        <v>694</v>
      </c>
    </row>
    <row r="51" spans="1:4" x14ac:dyDescent="0.2">
      <c r="A51">
        <v>1517395672</v>
      </c>
      <c r="B51" s="2" t="s">
        <v>695</v>
      </c>
      <c r="C51">
        <v>-115</v>
      </c>
      <c r="D51">
        <v>6</v>
      </c>
    </row>
    <row r="52" spans="1:4" x14ac:dyDescent="0.2">
      <c r="A52">
        <v>65030873</v>
      </c>
      <c r="B52" s="2" t="s">
        <v>696</v>
      </c>
    </row>
    <row r="53" spans="1:4" x14ac:dyDescent="0.2">
      <c r="A53">
        <v>65030873</v>
      </c>
      <c r="B53" s="2" t="s">
        <v>697</v>
      </c>
      <c r="C53">
        <v>-115</v>
      </c>
      <c r="D53">
        <v>6.25</v>
      </c>
    </row>
    <row r="54" spans="1:4" x14ac:dyDescent="0.2">
      <c r="A54">
        <v>3041730266</v>
      </c>
      <c r="B54" s="2" t="s">
        <v>698</v>
      </c>
    </row>
    <row r="55" spans="1:4" x14ac:dyDescent="0.2">
      <c r="A55">
        <v>3041730266</v>
      </c>
      <c r="B55" s="2" t="s">
        <v>699</v>
      </c>
      <c r="C55">
        <v>-114</v>
      </c>
      <c r="D55">
        <v>6</v>
      </c>
    </row>
    <row r="56" spans="1:4" x14ac:dyDescent="0.2">
      <c r="A56">
        <v>3859302107</v>
      </c>
      <c r="B56" s="2" t="s">
        <v>700</v>
      </c>
    </row>
    <row r="57" spans="1:4" x14ac:dyDescent="0.2">
      <c r="A57">
        <v>3859302107</v>
      </c>
      <c r="B57" s="2" t="s">
        <v>701</v>
      </c>
      <c r="C57">
        <v>-113</v>
      </c>
      <c r="D57">
        <v>7.25</v>
      </c>
    </row>
    <row r="58" spans="1:4" x14ac:dyDescent="0.2">
      <c r="A58">
        <v>2164387548</v>
      </c>
      <c r="B58" s="2" t="s">
        <v>702</v>
      </c>
    </row>
    <row r="59" spans="1:4" x14ac:dyDescent="0.2">
      <c r="A59">
        <v>2164387548</v>
      </c>
      <c r="B59" s="2" t="s">
        <v>703</v>
      </c>
      <c r="C59">
        <v>-115</v>
      </c>
      <c r="D59">
        <v>6.5</v>
      </c>
    </row>
    <row r="60" spans="1:4" x14ac:dyDescent="0.2">
      <c r="A60">
        <v>2092009181</v>
      </c>
      <c r="B60" s="2" t="s">
        <v>704</v>
      </c>
    </row>
    <row r="61" spans="1:4" x14ac:dyDescent="0.2">
      <c r="A61">
        <v>2092009181</v>
      </c>
      <c r="B61" s="2" t="s">
        <v>705</v>
      </c>
      <c r="C61">
        <v>-116</v>
      </c>
      <c r="D61">
        <v>5.75</v>
      </c>
    </row>
    <row r="62" spans="1:4" x14ac:dyDescent="0.2">
      <c r="A62">
        <v>4046412510</v>
      </c>
      <c r="B62" s="2" t="s">
        <v>706</v>
      </c>
    </row>
    <row r="63" spans="1:4" x14ac:dyDescent="0.2">
      <c r="A63">
        <v>4046412510</v>
      </c>
      <c r="B63" s="2" t="s">
        <v>707</v>
      </c>
      <c r="C63">
        <v>-116</v>
      </c>
      <c r="D63">
        <v>6.75</v>
      </c>
    </row>
    <row r="64" spans="1:4" x14ac:dyDescent="0.2">
      <c r="A64">
        <v>1286437599</v>
      </c>
      <c r="B64" s="2" t="s">
        <v>708</v>
      </c>
    </row>
    <row r="65" spans="1:4" x14ac:dyDescent="0.2">
      <c r="A65">
        <v>1286437599</v>
      </c>
      <c r="B65" s="2" t="s">
        <v>709</v>
      </c>
      <c r="C65">
        <v>-146</v>
      </c>
      <c r="D65">
        <v>-20.5</v>
      </c>
    </row>
    <row r="66" spans="1:4" x14ac:dyDescent="0.2">
      <c r="A66">
        <v>2166573792</v>
      </c>
      <c r="B66" s="2" t="s">
        <v>710</v>
      </c>
    </row>
    <row r="67" spans="1:4" x14ac:dyDescent="0.2">
      <c r="A67">
        <v>2166573792</v>
      </c>
      <c r="B67" s="2" t="s">
        <v>711</v>
      </c>
      <c r="C67">
        <v>-117</v>
      </c>
      <c r="D67">
        <v>5.25</v>
      </c>
    </row>
    <row r="68" spans="1:4" x14ac:dyDescent="0.2">
      <c r="A68">
        <v>1389883105</v>
      </c>
      <c r="B68">
        <v>1783025261.32881</v>
      </c>
    </row>
    <row r="69" spans="1:4" x14ac:dyDescent="0.2">
      <c r="A69">
        <v>1389883105</v>
      </c>
      <c r="B69" s="2" t="s">
        <v>712</v>
      </c>
      <c r="C69">
        <v>-115</v>
      </c>
      <c r="D69">
        <v>5.75</v>
      </c>
    </row>
    <row r="70" spans="1:4" x14ac:dyDescent="0.2">
      <c r="A70">
        <v>509790946</v>
      </c>
      <c r="B70" s="2" t="s">
        <v>713</v>
      </c>
    </row>
    <row r="71" spans="1:4" x14ac:dyDescent="0.2">
      <c r="A71">
        <v>509790946</v>
      </c>
      <c r="B71" s="2" t="s">
        <v>714</v>
      </c>
      <c r="C71">
        <v>-115</v>
      </c>
      <c r="D71">
        <v>5.75</v>
      </c>
    </row>
    <row r="72" spans="1:4" x14ac:dyDescent="0.2">
      <c r="A72">
        <v>2754110179</v>
      </c>
      <c r="B72" s="2" t="s">
        <v>715</v>
      </c>
    </row>
    <row r="73" spans="1:4" x14ac:dyDescent="0.2">
      <c r="A73">
        <v>2754110179</v>
      </c>
      <c r="B73" s="2" t="s">
        <v>716</v>
      </c>
      <c r="C73">
        <v>-115</v>
      </c>
      <c r="D73">
        <v>5.75</v>
      </c>
    </row>
    <row r="74" spans="1:4" x14ac:dyDescent="0.2">
      <c r="A74">
        <v>323082980</v>
      </c>
      <c r="B74" s="2" t="s">
        <v>717</v>
      </c>
    </row>
    <row r="75" spans="1:4" x14ac:dyDescent="0.2">
      <c r="A75">
        <v>323082980</v>
      </c>
      <c r="B75" s="2" t="s">
        <v>718</v>
      </c>
      <c r="C75">
        <v>-114</v>
      </c>
      <c r="D75">
        <v>7</v>
      </c>
    </row>
    <row r="76" spans="1:4" x14ac:dyDescent="0.2">
      <c r="A76">
        <v>1224223461</v>
      </c>
      <c r="B76" s="2" t="s">
        <v>719</v>
      </c>
    </row>
    <row r="77" spans="1:4" x14ac:dyDescent="0.2">
      <c r="A77">
        <v>1224223461</v>
      </c>
      <c r="B77">
        <v>1783025507.75455</v>
      </c>
      <c r="C77">
        <v>-144</v>
      </c>
      <c r="D77">
        <v>-18.75</v>
      </c>
    </row>
    <row r="78" spans="1:4" x14ac:dyDescent="0.2">
      <c r="A78">
        <v>1111507686</v>
      </c>
      <c r="B78" s="2" t="s">
        <v>720</v>
      </c>
    </row>
    <row r="79" spans="1:4" x14ac:dyDescent="0.2">
      <c r="A79">
        <v>1111507686</v>
      </c>
      <c r="B79" s="2" t="s">
        <v>721</v>
      </c>
      <c r="C79">
        <v>-116</v>
      </c>
      <c r="D79">
        <v>5.5</v>
      </c>
    </row>
    <row r="80" spans="1:4" x14ac:dyDescent="0.2">
      <c r="A80">
        <v>144429799</v>
      </c>
      <c r="B80" s="2" t="s">
        <v>722</v>
      </c>
    </row>
    <row r="81" spans="1:4" x14ac:dyDescent="0.2">
      <c r="A81">
        <v>144429799</v>
      </c>
      <c r="B81" s="2" t="s">
        <v>723</v>
      </c>
      <c r="C81">
        <v>-116</v>
      </c>
      <c r="D81">
        <v>4.75</v>
      </c>
    </row>
    <row r="82" spans="1:4" x14ac:dyDescent="0.2">
      <c r="A82">
        <v>4049119976</v>
      </c>
      <c r="B82" s="2" t="s">
        <v>724</v>
      </c>
    </row>
    <row r="83" spans="1:4" x14ac:dyDescent="0.2">
      <c r="A83">
        <v>4049119976</v>
      </c>
      <c r="B83" s="2" t="s">
        <v>725</v>
      </c>
      <c r="C83">
        <v>-115</v>
      </c>
      <c r="D83">
        <v>4.25</v>
      </c>
    </row>
    <row r="84" spans="1:4" x14ac:dyDescent="0.2">
      <c r="A84">
        <v>849172201</v>
      </c>
      <c r="B84" s="2" t="s">
        <v>726</v>
      </c>
    </row>
    <row r="85" spans="1:4" x14ac:dyDescent="0.2">
      <c r="A85">
        <v>849172201</v>
      </c>
      <c r="B85" s="2" t="s">
        <v>727</v>
      </c>
      <c r="C85">
        <v>-116</v>
      </c>
      <c r="D85">
        <v>5.25</v>
      </c>
    </row>
    <row r="86" spans="1:4" x14ac:dyDescent="0.2">
      <c r="A86">
        <v>4034040554</v>
      </c>
      <c r="B86" s="2" t="s">
        <v>728</v>
      </c>
    </row>
    <row r="87" spans="1:4" x14ac:dyDescent="0.2">
      <c r="A87">
        <v>4034040554</v>
      </c>
      <c r="B87" s="2" t="s">
        <v>729</v>
      </c>
      <c r="C87">
        <v>-114</v>
      </c>
      <c r="D87">
        <v>6.75</v>
      </c>
    </row>
    <row r="88" spans="1:4" x14ac:dyDescent="0.2">
      <c r="A88">
        <v>1446818539</v>
      </c>
      <c r="B88" s="2" t="s">
        <v>730</v>
      </c>
    </row>
    <row r="89" spans="1:4" x14ac:dyDescent="0.2">
      <c r="A89">
        <v>1446818539</v>
      </c>
      <c r="B89" s="2" t="s">
        <v>731</v>
      </c>
      <c r="C89">
        <v>-114</v>
      </c>
      <c r="D89">
        <v>6.75</v>
      </c>
    </row>
    <row r="90" spans="1:4" x14ac:dyDescent="0.2">
      <c r="A90">
        <v>2395002604</v>
      </c>
      <c r="B90" s="2" t="s">
        <v>732</v>
      </c>
    </row>
    <row r="91" spans="1:4" x14ac:dyDescent="0.2">
      <c r="A91">
        <v>2395002604</v>
      </c>
      <c r="B91" s="2" t="s">
        <v>733</v>
      </c>
      <c r="C91">
        <v>-115</v>
      </c>
      <c r="D91">
        <v>5.75</v>
      </c>
    </row>
    <row r="92" spans="1:4" x14ac:dyDescent="0.2">
      <c r="A92">
        <v>2569959149</v>
      </c>
      <c r="B92" s="2" t="s">
        <v>734</v>
      </c>
    </row>
    <row r="93" spans="1:4" x14ac:dyDescent="0.2">
      <c r="A93">
        <v>2569959149</v>
      </c>
      <c r="B93" s="2" t="s">
        <v>735</v>
      </c>
      <c r="C93">
        <v>-116</v>
      </c>
      <c r="D93">
        <v>6.25</v>
      </c>
    </row>
    <row r="94" spans="1:4" x14ac:dyDescent="0.2">
      <c r="A94">
        <v>3472019182</v>
      </c>
      <c r="B94" s="2" t="s">
        <v>736</v>
      </c>
    </row>
    <row r="95" spans="1:4" x14ac:dyDescent="0.2">
      <c r="A95">
        <v>3472019182</v>
      </c>
      <c r="B95" s="2" t="s">
        <v>737</v>
      </c>
      <c r="C95">
        <v>-115</v>
      </c>
      <c r="D95">
        <v>6.5</v>
      </c>
    </row>
    <row r="96" spans="1:4" x14ac:dyDescent="0.2">
      <c r="A96">
        <v>1765543663</v>
      </c>
      <c r="B96" s="2" t="s">
        <v>738</v>
      </c>
    </row>
    <row r="97" spans="1:4" x14ac:dyDescent="0.2">
      <c r="A97">
        <v>1765543663</v>
      </c>
      <c r="B97" s="2" t="s">
        <v>739</v>
      </c>
      <c r="C97">
        <v>-115</v>
      </c>
      <c r="D97">
        <v>6.25</v>
      </c>
    </row>
    <row r="98" spans="1:4" x14ac:dyDescent="0.2">
      <c r="A98">
        <v>2203009776</v>
      </c>
      <c r="B98" s="2" t="s">
        <v>740</v>
      </c>
    </row>
    <row r="99" spans="1:4" x14ac:dyDescent="0.2">
      <c r="A99">
        <v>2203009776</v>
      </c>
      <c r="B99" s="2" t="s">
        <v>741</v>
      </c>
      <c r="C99">
        <v>-114</v>
      </c>
      <c r="D99">
        <v>7.25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77F3-0296-D247-9620-051ECE12EA35}">
  <sheetPr codeName="Sheet9">
    <tabColor theme="0" tint="-0.14999847407452621"/>
  </sheetPr>
  <dimension ref="A1:L30"/>
  <sheetViews>
    <sheetView tabSelected="1" topLeftCell="A11" zoomScale="59" zoomScaleNormal="75" workbookViewId="0">
      <selection activeCell="H62" sqref="H62"/>
    </sheetView>
  </sheetViews>
  <sheetFormatPr baseColWidth="10" defaultRowHeight="16" x14ac:dyDescent="0.2"/>
  <cols>
    <col min="1" max="1" width="18.1640625" style="3" customWidth="1"/>
    <col min="2" max="7" width="11" bestFit="1" customWidth="1"/>
    <col min="22" max="22" width="11.6640625" bestFit="1" customWidth="1"/>
  </cols>
  <sheetData>
    <row r="1" spans="1:12" s="3" customFormat="1" x14ac:dyDescent="0.2">
      <c r="A1" s="3" t="s">
        <v>791</v>
      </c>
      <c r="B1" s="3" t="s">
        <v>304</v>
      </c>
      <c r="C1" s="3" t="s">
        <v>305</v>
      </c>
      <c r="D1" s="3" t="s">
        <v>306</v>
      </c>
      <c r="E1" s="3" t="s">
        <v>307</v>
      </c>
      <c r="F1" s="3" t="s">
        <v>310</v>
      </c>
    </row>
    <row r="2" spans="1:12" x14ac:dyDescent="0.2">
      <c r="A2" s="3" t="s">
        <v>311</v>
      </c>
      <c r="B2">
        <f>COUNT('5sec_morning'!E2:E38)/50*100</f>
        <v>74</v>
      </c>
      <c r="C2">
        <f>COUNT('20sec_morning'!E2:E50)/50*100</f>
        <v>98</v>
      </c>
      <c r="D2">
        <f>COUNT('40sec_morning'!E2:E51)/50*100</f>
        <v>100</v>
      </c>
      <c r="E2">
        <f>COUNT('1min_morning'!E2:E51)/50*100</f>
        <v>100</v>
      </c>
      <c r="F2" s="4">
        <f>(32+49+50+50)/200*100</f>
        <v>90.5</v>
      </c>
    </row>
    <row r="3" spans="1:12" x14ac:dyDescent="0.2">
      <c r="A3" s="3" t="s">
        <v>308</v>
      </c>
      <c r="B3" t="s">
        <v>312</v>
      </c>
      <c r="C3" t="s">
        <v>312</v>
      </c>
      <c r="D3" t="s">
        <v>312</v>
      </c>
      <c r="E3" t="s">
        <v>312</v>
      </c>
      <c r="F3" s="4">
        <v>0</v>
      </c>
    </row>
    <row r="4" spans="1:12" x14ac:dyDescent="0.2">
      <c r="A4" s="3" t="s">
        <v>309</v>
      </c>
      <c r="B4">
        <f>AVERAGE('5sec_morning'!E2:E38)</f>
        <v>1.972972972972973</v>
      </c>
      <c r="C4">
        <f>AVERAGE('20sec_morning'!E2:E50)</f>
        <v>1.9591836734693877</v>
      </c>
      <c r="D4">
        <f>AVERAGE('40sec_morning'!E2:E51)</f>
        <v>2</v>
      </c>
      <c r="E4">
        <f>AVERAGE('1min_morning'!E2:E51)</f>
        <v>1.96</v>
      </c>
      <c r="F4">
        <f>AVERAGE(B4:E4)</f>
        <v>1.9730391616105902</v>
      </c>
    </row>
    <row r="5" spans="1:12" x14ac:dyDescent="0.2">
      <c r="A5" s="3" t="s">
        <v>313</v>
      </c>
      <c r="B5">
        <f>AVERAGE('5sec_morning'!H2:H38)</f>
        <v>-137.64864864864865</v>
      </c>
      <c r="C5">
        <f>AVERAGE('20sec_morning'!H2:H50)</f>
        <v>-138.77551020408163</v>
      </c>
      <c r="D5">
        <f>AVERAGE('40sec_morning'!H2:H51)</f>
        <v>-138.84</v>
      </c>
      <c r="E5">
        <f>AVERAGE('1min_morning'!H2:H51)</f>
        <v>-139.12</v>
      </c>
      <c r="F5">
        <f>AVERAGE(B5:E5)</f>
        <v>-138.59603971318256</v>
      </c>
    </row>
    <row r="6" spans="1:12" x14ac:dyDescent="0.2">
      <c r="A6" s="3" t="s">
        <v>319</v>
      </c>
      <c r="B6">
        <f>_xlfn.STDEV.S('5sec_morning'!H2:H38)</f>
        <v>1.9034503206343805</v>
      </c>
      <c r="C6">
        <f>_xlfn.STDEV.S('20sec_morning'!H2:H50)</f>
        <v>1.7708908554082903</v>
      </c>
      <c r="D6">
        <f>_xlfn.STDEV.S('40sec_morning'!H2:H51)</f>
        <v>1.3606721028332176</v>
      </c>
      <c r="E6">
        <f>_xlfn.STDEV.S('1min_morning'!H2:H51)</f>
        <v>5.5019106143378282</v>
      </c>
      <c r="F6">
        <f>AVERAGE(B6:E6)</f>
        <v>2.6342309733034295</v>
      </c>
    </row>
    <row r="7" spans="1:12" x14ac:dyDescent="0.2">
      <c r="A7" s="3" t="s">
        <v>314</v>
      </c>
      <c r="B7">
        <f>AVERAGE('5sec_morning'!I2:I38)</f>
        <v>-12.797297297297296</v>
      </c>
      <c r="C7">
        <f>AVERAGE('20sec_morning'!I2:I50)</f>
        <v>-13.897959183673469</v>
      </c>
      <c r="D7">
        <f>AVERAGE('40sec_morning'!I2:I51)</f>
        <v>-14.09</v>
      </c>
      <c r="E7">
        <f>AVERAGE('1min_morning'!I2:I51)</f>
        <v>-14.57</v>
      </c>
      <c r="F7">
        <f>AVERAGE(B7:E7)</f>
        <v>-13.838814120242692</v>
      </c>
    </row>
    <row r="8" spans="1:12" x14ac:dyDescent="0.2">
      <c r="A8" s="3" t="s">
        <v>320</v>
      </c>
      <c r="B8">
        <f>_xlfn.STDEV.S('5sec_morning'!I2:I38)</f>
        <v>1.7448712920516041</v>
      </c>
      <c r="C8">
        <f>_xlfn.STDEV.S('20sec_morning'!I2:I50)</f>
        <v>1.5180497076729682</v>
      </c>
      <c r="D8">
        <f>_xlfn.STDEV.S('40sec_morning'!I2:I51)</f>
        <v>1.1074423558039357</v>
      </c>
      <c r="E8">
        <f>_xlfn.STDEV.S('1min_morning'!I2:I51)</f>
        <v>3.7437158229846039</v>
      </c>
      <c r="F8">
        <f>AVERAGE(B8:E8)</f>
        <v>2.028519794628278</v>
      </c>
      <c r="G8" s="3"/>
    </row>
    <row r="9" spans="1:12" x14ac:dyDescent="0.2">
      <c r="A9" s="3" t="s">
        <v>316</v>
      </c>
      <c r="B9" cm="1">
        <f t="array" ref="B9">SUMPRODUCT(--(COUNTIF('5sec_morning_ACK'!A2:A19, '5sec_morning'!A2:A38)&gt;0))</f>
        <v>13</v>
      </c>
      <c r="C9" cm="1">
        <f t="array" ref="C9">SUMPRODUCT(--(COUNTIF('20sec_morning_ACK'!A2:A102, '20sec_morning'!A2:A50)&gt;0))</f>
        <v>49</v>
      </c>
      <c r="D9" cm="1">
        <f t="array" ref="D9">SUMPRODUCT(--(COUNTIF('40sec_morning_ACK'!A2:A101, '40sec_morning'!A2:A51)&gt;0))</f>
        <v>50</v>
      </c>
      <c r="E9" cm="1">
        <f t="array" ref="E9">SUMPRODUCT(--(COUNTIF('1min_morning_ACK'!A1:A98, '1min_morning'!A2:A51)&gt;0))</f>
        <v>50</v>
      </c>
      <c r="F9" s="4">
        <f>SUM(B9:E9)</f>
        <v>162</v>
      </c>
    </row>
    <row r="10" spans="1:12" x14ac:dyDescent="0.2">
      <c r="A10" s="3" t="s">
        <v>315</v>
      </c>
      <c r="B10">
        <f>B9/50*100</f>
        <v>26</v>
      </c>
      <c r="C10">
        <f>C9/50*100</f>
        <v>98</v>
      </c>
      <c r="D10">
        <f>D9/50*100</f>
        <v>100</v>
      </c>
      <c r="E10">
        <f>E9/50*100</f>
        <v>100</v>
      </c>
      <c r="F10" s="4">
        <f>F9/200*100</f>
        <v>81</v>
      </c>
      <c r="G10" s="3"/>
      <c r="L10" s="4"/>
    </row>
    <row r="11" spans="1:12" x14ac:dyDescent="0.2">
      <c r="A11" s="3" t="s">
        <v>317</v>
      </c>
      <c r="B11">
        <f>AVERAGE('5sec_morning_ACK'!C:C)</f>
        <v>-119.3</v>
      </c>
      <c r="C11">
        <f>AVERAGE('20sec_morning_ACK'!C:C)</f>
        <v>-121.35294117647059</v>
      </c>
      <c r="D11">
        <f>AVERAGE('40sec_morning_ACK'!C:C)</f>
        <v>-124.62</v>
      </c>
      <c r="E11">
        <f>AVERAGE('1min_morning_ACK'!C:C)</f>
        <v>-122.52083333333333</v>
      </c>
      <c r="F11">
        <f>AVERAGE(B11:E11)</f>
        <v>-121.94844362745097</v>
      </c>
      <c r="G11" s="3"/>
      <c r="L11" s="4"/>
    </row>
    <row r="12" spans="1:12" x14ac:dyDescent="0.2">
      <c r="A12" s="3" t="s">
        <v>321</v>
      </c>
      <c r="B12">
        <f>_xlfn.STDEV.S('5sec_morning_ACK'!C:C)</f>
        <v>13.055862880543598</v>
      </c>
      <c r="C12">
        <f>_xlfn.STDEV.S('20sec_morning_ACK'!C:C)</f>
        <v>11.172866291890839</v>
      </c>
      <c r="D12">
        <f>_xlfn.STDEV.S('40sec_morning_ACK'!C:C)</f>
        <v>14.51514339423151</v>
      </c>
      <c r="E12">
        <f>_xlfn.STDEV.S('1min_morning_ACK'!C:C)</f>
        <v>15.18256220258821</v>
      </c>
      <c r="F12">
        <f>AVERAGE(B12:E12)</f>
        <v>13.481608692313539</v>
      </c>
    </row>
    <row r="13" spans="1:12" ht="16" customHeight="1" x14ac:dyDescent="0.2">
      <c r="A13" s="3" t="s">
        <v>318</v>
      </c>
      <c r="B13">
        <f>AVERAGE('5sec_morning_ACK'!D:D)</f>
        <v>1.675</v>
      </c>
      <c r="C13">
        <f>AVERAGE('20sec_morning_ACK'!D:D)</f>
        <v>0.44607843137254904</v>
      </c>
      <c r="D13">
        <f>AVERAGE('40sec_morning_ACK'!D:D)</f>
        <v>-2.4500000000000002</v>
      </c>
      <c r="E13">
        <f>AVERAGE('1min_morning_ACK'!D:D)</f>
        <v>-1.1197916666666667</v>
      </c>
      <c r="F13">
        <f>AVERAGE(B13:E13)</f>
        <v>-0.36217830882352947</v>
      </c>
      <c r="G13" s="3"/>
    </row>
    <row r="14" spans="1:12" x14ac:dyDescent="0.2">
      <c r="A14" s="3" t="s">
        <v>322</v>
      </c>
      <c r="B14">
        <f>_xlfn.STDEV.S('5sec_morning_ACK'!D8:D19)</f>
        <v>9.0569187794623485</v>
      </c>
      <c r="C14">
        <f>_xlfn.STDEV.S('20sec_morning_ACK'!D:D)</f>
        <v>9.9889080641342129</v>
      </c>
      <c r="D14">
        <f>_xlfn.STDEV.S('40sec_morning_ACK'!D:D)</f>
        <v>12.918800569838723</v>
      </c>
      <c r="E14">
        <f>_xlfn.STDEV.S('1min_morning_ACK'!D:D)</f>
        <v>12.503189974168265</v>
      </c>
      <c r="F14">
        <f>AVERAGE(B14:E14)</f>
        <v>11.116954346900886</v>
      </c>
    </row>
    <row r="16" spans="1:12" x14ac:dyDescent="0.2">
      <c r="A16" s="3" t="s">
        <v>792</v>
      </c>
      <c r="B16" s="3" t="s">
        <v>304</v>
      </c>
      <c r="C16" s="3" t="s">
        <v>305</v>
      </c>
      <c r="D16" s="3" t="s">
        <v>306</v>
      </c>
      <c r="E16" s="3" t="s">
        <v>307</v>
      </c>
      <c r="F16" s="3" t="s">
        <v>310</v>
      </c>
    </row>
    <row r="17" spans="1:7" x14ac:dyDescent="0.2">
      <c r="A17" s="3" t="s">
        <v>311</v>
      </c>
      <c r="B17">
        <f>COUNT('5sec_afternoon'!D1:D39)/50*100</f>
        <v>78</v>
      </c>
      <c r="C17">
        <f>COUNT('20sec_afternon'!D1:D43)/50*100</f>
        <v>86</v>
      </c>
      <c r="D17">
        <f>COUNT('40sec_afternoon'!D2:D46)/50*100</f>
        <v>90</v>
      </c>
      <c r="E17">
        <f>COUNT('1min_afternoon'!E1:E49)/50*100</f>
        <v>98</v>
      </c>
      <c r="F17" s="4">
        <f>COUNT('5sec_afternoon'!F:F,'20sec_afternon'!F:F,'40sec_afternoon'!F:F,'1min_afternoon'!F:F)/200*100</f>
        <v>88.5</v>
      </c>
    </row>
    <row r="18" spans="1:7" ht="17" customHeight="1" x14ac:dyDescent="0.2">
      <c r="A18" s="3" t="s">
        <v>308</v>
      </c>
      <c r="B18" s="5">
        <f>AVERAGE('5sec_afternoon'!K1:K39)</f>
        <v>65.991809759384552</v>
      </c>
      <c r="C18">
        <f>AVERAGE('20sec_afternon'!K1:K43)</f>
        <v>6.236659049987793</v>
      </c>
      <c r="D18">
        <f>AVERAGE('40sec_afternoon'!K:K)</f>
        <v>6.6167393456334649</v>
      </c>
      <c r="E18">
        <f>AVERAGE('1min_afternoon'!K:K)</f>
        <v>6.2146381747965913</v>
      </c>
      <c r="F18" s="4">
        <f>AVERAGE(C18:E18)</f>
        <v>6.3560121901392828</v>
      </c>
      <c r="G18" s="6">
        <f>AVERAGE(B18:E18)</f>
        <v>21.264961582450599</v>
      </c>
    </row>
    <row r="19" spans="1:7" x14ac:dyDescent="0.2">
      <c r="A19" s="3" t="s">
        <v>794</v>
      </c>
      <c r="B19" s="6">
        <f>_xlfn.STDEV.S('5sec_afternoon'!K:K)</f>
        <v>44.098880194219447</v>
      </c>
      <c r="C19">
        <f>_xlfn.STDEV.S('20sec_afternon'!K:K)</f>
        <v>0.81603368467911808</v>
      </c>
      <c r="D19">
        <f>_xlfn.STDEV.S('40sec_afternoon'!K:K)</f>
        <v>1.7500641758154503</v>
      </c>
      <c r="E19">
        <f>_xlfn.STDEV.S('1min_afternoon'!K:K)</f>
        <v>0.84907817477713621</v>
      </c>
      <c r="F19">
        <f>_xlfn.STDEV.S('20sec_afternon'!K:K,'40sec_afternoon'!K:K,'1min_afternoon'!K:K)</f>
        <v>1.223595757966605</v>
      </c>
      <c r="G19" s="6">
        <f>_xlfn.STDEV.S('5sec_afternoon'!K:K,'20sec_afternon'!K:K,'40sec_afternoon'!K:K,'1min_afternoon'!K:K)</f>
        <v>32.178957240898924</v>
      </c>
    </row>
    <row r="20" spans="1:7" x14ac:dyDescent="0.2">
      <c r="A20" s="3" t="s">
        <v>309</v>
      </c>
      <c r="B20">
        <f>AVERAGE('5sec_afternoon'!E1:E39)</f>
        <v>1.8974358974358974</v>
      </c>
      <c r="C20">
        <f>AVERAGE('20sec_afternon'!E:E)</f>
        <v>1.9767441860465116</v>
      </c>
      <c r="D20">
        <f>AVERAGE('40sec_afternoon'!E:E)</f>
        <v>1.9565217391304348</v>
      </c>
      <c r="E20">
        <f>AVERAGE('1min_afternoon'!E:E)</f>
        <v>2</v>
      </c>
      <c r="F20">
        <f>AVERAGE(B20:E20)</f>
        <v>1.957675455653211</v>
      </c>
    </row>
    <row r="21" spans="1:7" x14ac:dyDescent="0.2">
      <c r="A21" s="3" t="s">
        <v>313</v>
      </c>
      <c r="B21">
        <f>AVERAGE('5sec_afternoon'!I:I)</f>
        <v>-138.17948717948718</v>
      </c>
      <c r="C21">
        <f>AVERAGE('20sec_afternon'!I:I)</f>
        <v>-138.6046511627907</v>
      </c>
      <c r="D21">
        <f>AVERAGE('40sec_afternoon'!I:I)</f>
        <v>-138.89130434782609</v>
      </c>
      <c r="E21">
        <f>AVERAGE('1min_afternoon'!I:I)</f>
        <v>-137.48979591836735</v>
      </c>
      <c r="F21">
        <f>AVERAGE(B21:E21)</f>
        <v>-138.29130965211783</v>
      </c>
    </row>
    <row r="22" spans="1:7" x14ac:dyDescent="0.2">
      <c r="A22" s="3" t="s">
        <v>319</v>
      </c>
      <c r="B22">
        <f>_xlfn.STDEV.S('5sec_afternoon'!I:I)</f>
        <v>1.7602600715712873</v>
      </c>
      <c r="C22">
        <f>_xlfn.STDEV.S('20sec_afternon'!I:I)</f>
        <v>1.7746835383046664</v>
      </c>
      <c r="D22">
        <f>_xlfn.STDEV.S('40sec_afternoon'!I:I)</f>
        <v>2.1932042603314978</v>
      </c>
      <c r="E22">
        <f>_xlfn.STDEV.S('1min_afternoon'!I:I)</f>
        <v>1.2097253300438329</v>
      </c>
      <c r="F22">
        <f>_xlfn.STDEV.S('5sec_afternoon'!I:I,'20sec_afternon'!I:I,'40sec_afternoon'!I:I,'1min_afternoon'!I:I)</f>
        <v>1.8300444422208275</v>
      </c>
    </row>
    <row r="23" spans="1:7" x14ac:dyDescent="0.2">
      <c r="A23" s="3" t="s">
        <v>314</v>
      </c>
      <c r="B23">
        <f>AVERAGE('5sec_afternoon'!J:J)</f>
        <v>-14.121794871794872</v>
      </c>
      <c r="C23">
        <f>AVERAGE('20sec_afternon'!J:J)</f>
        <v>-13.976744186046512</v>
      </c>
      <c r="D23">
        <f>AVERAGE('40sec_afternoon'!J:J)</f>
        <v>-14.440217391304348</v>
      </c>
      <c r="E23">
        <f>AVERAGE('1min_afternoon'!J:J)</f>
        <v>-12.877551020408163</v>
      </c>
      <c r="F23">
        <f>AVERAGE(B23:E23)</f>
        <v>-13.854076867388475</v>
      </c>
    </row>
    <row r="24" spans="1:7" x14ac:dyDescent="0.2">
      <c r="A24" s="3" t="s">
        <v>320</v>
      </c>
      <c r="B24">
        <f>_xlfn.STDEV.S('5sec_afternoon'!J:J)</f>
        <v>1.7022351742324173</v>
      </c>
      <c r="C24">
        <f>_xlfn.STDEV.S('20sec_afternon'!J:J)</f>
        <v>1.6768858906150854</v>
      </c>
      <c r="D24">
        <f>_xlfn.STDEV.S('40sec_afternoon'!J:J)</f>
        <v>2.0576313125430099</v>
      </c>
      <c r="E24">
        <f>_xlfn.STDEV.S('1min_afternoon'!J:J)</f>
        <v>1.1604624268875263</v>
      </c>
      <c r="F24">
        <f>_xlfn.STDEV.S('5sec_afternoon'!J:J,'20sec_afternon'!J:J,'40sec_afternoon'!J:J,'1min_afternoon'!J:J)</f>
        <v>1.7664737947213047</v>
      </c>
    </row>
    <row r="25" spans="1:7" x14ac:dyDescent="0.2">
      <c r="A25" s="3" t="s">
        <v>316</v>
      </c>
      <c r="B25" cm="1">
        <f t="array" ref="B25">SUMPRODUCT(--(COUNTIF(allACK!A:A,'5sec_afternoon'!A:A)&gt;0))</f>
        <v>17</v>
      </c>
      <c r="C25" cm="1">
        <f t="array" ref="C25">SUMPRODUCT(--(COUNTIF(allACK!A:A,'20sec_afternon'!A:A)&gt;0))</f>
        <v>43</v>
      </c>
      <c r="D25" cm="1">
        <f t="array" ref="D25">SUMPRODUCT(--(COUNTIF(allACK!A:A,'40sec_afternoon'!A:A)&gt;0))</f>
        <v>46</v>
      </c>
      <c r="E25" cm="1">
        <f t="array" ref="E25">SUMPRODUCT(--(COUNTIF(allACK!A:A,'1min_afternoon'!A:A)&gt;0))</f>
        <v>49</v>
      </c>
      <c r="F25" s="4">
        <f>SUM(B25:E25)</f>
        <v>155</v>
      </c>
    </row>
    <row r="26" spans="1:7" x14ac:dyDescent="0.2">
      <c r="A26" s="3" t="s">
        <v>315</v>
      </c>
      <c r="B26">
        <f>B25/50*100</f>
        <v>34</v>
      </c>
      <c r="C26">
        <f>C25/50*100</f>
        <v>86</v>
      </c>
      <c r="D26">
        <f t="shared" ref="C26:F26" si="0">D25/50*100</f>
        <v>92</v>
      </c>
      <c r="E26">
        <f>E25/50*100</f>
        <v>98</v>
      </c>
      <c r="F26">
        <f>F25/200*100</f>
        <v>77.5</v>
      </c>
    </row>
    <row r="27" spans="1:7" x14ac:dyDescent="0.2">
      <c r="A27" s="3" t="s">
        <v>317</v>
      </c>
      <c r="B27">
        <f>AVERAGE('5sec_afternoon_ACK'!C:C)</f>
        <v>-118</v>
      </c>
      <c r="C27">
        <f>AVERAGE('20sec_afternoon_ACK'!C:C)</f>
        <v>-121.37209302325581</v>
      </c>
      <c r="D27">
        <f>AVERAGE('40sec_afternoon_ACK'!C:C)</f>
        <v>-118.77777777777777</v>
      </c>
      <c r="E27">
        <f>AVERAGE('1min_afternoon_ACK'!C:C)</f>
        <v>-120.75510204081633</v>
      </c>
      <c r="F27">
        <f>AVERAGE('5sec_afternoon_ACK'!C:C,'20sec_afternoon_ACK'!C:C,'40sec_afternoon_ACK'!C:C,'1min_afternoon_ACK'!C:C)</f>
        <v>-120.1</v>
      </c>
    </row>
    <row r="28" spans="1:7" x14ac:dyDescent="0.2">
      <c r="A28" s="3" t="s">
        <v>321</v>
      </c>
      <c r="B28">
        <f>_xlfn.STDEV.S('5sec_afternoon_ACK'!C:C)</f>
        <v>7.8528126595931642</v>
      </c>
      <c r="C28">
        <f>_xlfn.STDEV.S('20sec_afternoon_ACK'!C:C)</f>
        <v>10.987055708150283</v>
      </c>
      <c r="D28">
        <f>_xlfn.STDEV.S('40sec_afternoon_ACK'!C:C)</f>
        <v>10.321841116797142</v>
      </c>
      <c r="E28">
        <f>_xlfn.STDEV.S('1min_afternoon_ACK'!C:C)</f>
        <v>11.728758481195023</v>
      </c>
      <c r="F28">
        <f>_xlfn.STDEV.S('5sec_afternoon_ACK'!C:C,'20sec_afternoon_ACK'!C:C,'40sec_afternoon_ACK'!C:C,'1min_afternoon_ACK'!C:C)</f>
        <v>10.783874364472389</v>
      </c>
    </row>
    <row r="29" spans="1:7" x14ac:dyDescent="0.2">
      <c r="A29" s="3" t="s">
        <v>318</v>
      </c>
      <c r="B29">
        <f>AVERAGE('5sec_afternoon_ACK'!D:D)</f>
        <v>2.9615384615384617</v>
      </c>
      <c r="C29">
        <f>AVERAGE('20sec_afternoon_ACK'!D:D)</f>
        <v>0.98837209302325579</v>
      </c>
      <c r="D29">
        <f>AVERAGE('40sec_afternoon_ACK'!D:D)</f>
        <v>2.7777777777777777</v>
      </c>
      <c r="E29">
        <f>AVERAGE('1min_afternoon_ACK'!D:D)</f>
        <v>1.1071428571428572</v>
      </c>
      <c r="F29">
        <f>AVERAGE('5sec_afternoon_ACK'!D:D,'20sec_afternoon_ACK'!D:D,'40sec_afternoon_ACK'!D:D,'1min_afternoon_ACK'!D:D)</f>
        <v>1.7350000000000001</v>
      </c>
    </row>
    <row r="30" spans="1:7" x14ac:dyDescent="0.2">
      <c r="A30" s="3" t="s">
        <v>322</v>
      </c>
      <c r="B30">
        <f>_xlfn.STDEV.S('5sec_afternoon_ACK'!D:D)</f>
        <v>6.7359778381388278</v>
      </c>
      <c r="C30">
        <f>_xlfn.STDEV.S('20sec_afternoon_ACK'!D:D)</f>
        <v>9.5090735942127935</v>
      </c>
      <c r="D30">
        <f>_xlfn.STDEV.S('40sec_afternoon_ACK'!D:D)</f>
        <v>8.9338195254399064</v>
      </c>
      <c r="E30">
        <f>_xlfn.STDEV.S('1min_afternoon_ACK'!D:D)</f>
        <v>10.252540335611137</v>
      </c>
      <c r="F30">
        <f>_xlfn.STDEV.S('5sec_afternoon_ACK'!D:D,'20sec_afternoon_ACK'!D:D,'40sec_afternoon_ACK'!D:D,'1min_afternoon_ACK'!D:D)</f>
        <v>9.3447321233075389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73D3-E357-9643-8FFB-928CC262D408}">
  <sheetPr>
    <tabColor theme="2"/>
  </sheetPr>
  <dimension ref="A1:D169"/>
  <sheetViews>
    <sheetView workbookViewId="0">
      <selection activeCell="A57" sqref="A57"/>
    </sheetView>
  </sheetViews>
  <sheetFormatPr baseColWidth="10" defaultRowHeight="16" x14ac:dyDescent="0.2"/>
  <sheetData>
    <row r="1" spans="1:4" x14ac:dyDescent="0.2">
      <c r="A1" s="3" t="s">
        <v>793</v>
      </c>
      <c r="D1" s="3"/>
    </row>
    <row r="2" spans="1:4" x14ac:dyDescent="0.2">
      <c r="A2">
        <v>2356606103</v>
      </c>
    </row>
    <row r="3" spans="1:4" x14ac:dyDescent="0.2">
      <c r="A3">
        <v>2939092121</v>
      </c>
    </row>
    <row r="4" spans="1:4" x14ac:dyDescent="0.2">
      <c r="A4">
        <v>2917316760</v>
      </c>
    </row>
    <row r="5" spans="1:4" x14ac:dyDescent="0.2">
      <c r="A5">
        <v>4019089562</v>
      </c>
    </row>
    <row r="6" spans="1:4" x14ac:dyDescent="0.2">
      <c r="A6">
        <v>2159920284</v>
      </c>
    </row>
    <row r="7" spans="1:4" x14ac:dyDescent="0.2">
      <c r="A7">
        <v>1839092891</v>
      </c>
    </row>
    <row r="8" spans="1:4" x14ac:dyDescent="0.2">
      <c r="A8">
        <v>224053405</v>
      </c>
    </row>
    <row r="9" spans="1:4" x14ac:dyDescent="0.2">
      <c r="A9">
        <v>74218654</v>
      </c>
    </row>
    <row r="10" spans="1:4" x14ac:dyDescent="0.2">
      <c r="A10">
        <v>498995359</v>
      </c>
    </row>
    <row r="11" spans="1:4" x14ac:dyDescent="0.2">
      <c r="A11">
        <v>2450951329</v>
      </c>
    </row>
    <row r="12" spans="1:4" x14ac:dyDescent="0.2">
      <c r="A12">
        <v>865043631</v>
      </c>
    </row>
    <row r="13" spans="1:4" x14ac:dyDescent="0.2">
      <c r="A13">
        <v>267577520</v>
      </c>
    </row>
    <row r="14" spans="1:4" x14ac:dyDescent="0.2">
      <c r="A14">
        <v>1092912297</v>
      </c>
    </row>
    <row r="15" spans="1:4" x14ac:dyDescent="0.2">
      <c r="A15">
        <v>3421362347</v>
      </c>
    </row>
    <row r="16" spans="1:4" x14ac:dyDescent="0.2">
      <c r="A16">
        <v>272061613</v>
      </c>
    </row>
    <row r="17" spans="1:1" x14ac:dyDescent="0.2">
      <c r="A17">
        <v>559829171</v>
      </c>
    </row>
    <row r="18" spans="1:1" x14ac:dyDescent="0.2">
      <c r="A18">
        <v>4230789320</v>
      </c>
    </row>
    <row r="19" spans="1:1" x14ac:dyDescent="0.2">
      <c r="A19">
        <v>3688657074</v>
      </c>
    </row>
    <row r="20" spans="1:1" x14ac:dyDescent="0.2">
      <c r="A20">
        <v>1467316129</v>
      </c>
    </row>
    <row r="21" spans="1:1" x14ac:dyDescent="0.2">
      <c r="A21">
        <v>2273843106</v>
      </c>
    </row>
    <row r="22" spans="1:1" x14ac:dyDescent="0.2">
      <c r="A22">
        <v>4060368803</v>
      </c>
    </row>
    <row r="23" spans="1:1" x14ac:dyDescent="0.2">
      <c r="A23">
        <v>1543318436</v>
      </c>
    </row>
    <row r="24" spans="1:1" x14ac:dyDescent="0.2">
      <c r="A24">
        <v>1999121317</v>
      </c>
    </row>
    <row r="25" spans="1:1" x14ac:dyDescent="0.2">
      <c r="A25">
        <v>4272586662</v>
      </c>
    </row>
    <row r="26" spans="1:1" x14ac:dyDescent="0.2">
      <c r="A26">
        <v>252475303</v>
      </c>
    </row>
    <row r="27" spans="1:1" x14ac:dyDescent="0.2">
      <c r="A27">
        <v>4172195752</v>
      </c>
    </row>
    <row r="28" spans="1:1" x14ac:dyDescent="0.2">
      <c r="A28">
        <v>1477650345</v>
      </c>
    </row>
    <row r="29" spans="1:1" x14ac:dyDescent="0.2">
      <c r="A29">
        <v>2287170474</v>
      </c>
    </row>
    <row r="30" spans="1:1" x14ac:dyDescent="0.2">
      <c r="A30">
        <v>2729804715</v>
      </c>
    </row>
    <row r="31" spans="1:1" x14ac:dyDescent="0.2">
      <c r="A31">
        <v>3474316204</v>
      </c>
    </row>
    <row r="32" spans="1:1" x14ac:dyDescent="0.2">
      <c r="A32">
        <v>2904587181</v>
      </c>
    </row>
    <row r="33" spans="1:1" x14ac:dyDescent="0.2">
      <c r="A33">
        <v>1687119790</v>
      </c>
    </row>
    <row r="34" spans="1:1" x14ac:dyDescent="0.2">
      <c r="A34">
        <v>1779333039</v>
      </c>
    </row>
    <row r="35" spans="1:1" x14ac:dyDescent="0.2">
      <c r="A35">
        <v>851579824</v>
      </c>
    </row>
    <row r="36" spans="1:1" x14ac:dyDescent="0.2">
      <c r="A36">
        <v>994146225</v>
      </c>
    </row>
    <row r="37" spans="1:1" x14ac:dyDescent="0.2">
      <c r="A37">
        <v>3343820722</v>
      </c>
    </row>
    <row r="38" spans="1:1" x14ac:dyDescent="0.2">
      <c r="A38">
        <v>3392257971</v>
      </c>
    </row>
    <row r="39" spans="1:1" x14ac:dyDescent="0.2">
      <c r="A39">
        <v>250540980</v>
      </c>
    </row>
    <row r="40" spans="1:1" x14ac:dyDescent="0.2">
      <c r="A40">
        <v>3071252405</v>
      </c>
    </row>
    <row r="41" spans="1:1" x14ac:dyDescent="0.2">
      <c r="A41">
        <v>2612805558</v>
      </c>
    </row>
    <row r="42" spans="1:1" x14ac:dyDescent="0.2">
      <c r="A42">
        <v>1055525815</v>
      </c>
    </row>
    <row r="43" spans="1:1" x14ac:dyDescent="0.2">
      <c r="A43">
        <v>387171256</v>
      </c>
    </row>
    <row r="44" spans="1:1" x14ac:dyDescent="0.2">
      <c r="A44">
        <v>2653928377</v>
      </c>
    </row>
    <row r="45" spans="1:1" x14ac:dyDescent="0.2">
      <c r="A45">
        <v>4217252794</v>
      </c>
    </row>
    <row r="46" spans="1:1" x14ac:dyDescent="0.2">
      <c r="A46">
        <v>1256723387</v>
      </c>
    </row>
    <row r="47" spans="1:1" x14ac:dyDescent="0.2">
      <c r="A47">
        <v>1660974012</v>
      </c>
    </row>
    <row r="48" spans="1:1" x14ac:dyDescent="0.2">
      <c r="A48">
        <v>247476157</v>
      </c>
    </row>
    <row r="49" spans="1:1" x14ac:dyDescent="0.2">
      <c r="A49">
        <v>2127561662</v>
      </c>
    </row>
    <row r="50" spans="1:1" x14ac:dyDescent="0.2">
      <c r="A50">
        <v>1110904767</v>
      </c>
    </row>
    <row r="51" spans="1:1" x14ac:dyDescent="0.2">
      <c r="A51">
        <v>4170792896</v>
      </c>
    </row>
    <row r="52" spans="1:1" x14ac:dyDescent="0.2">
      <c r="A52">
        <v>4049139649</v>
      </c>
    </row>
    <row r="53" spans="1:1" x14ac:dyDescent="0.2">
      <c r="A53">
        <v>2422521794</v>
      </c>
    </row>
    <row r="54" spans="1:1" x14ac:dyDescent="0.2">
      <c r="A54">
        <v>2999637955</v>
      </c>
    </row>
    <row r="55" spans="1:1" x14ac:dyDescent="0.2">
      <c r="A55">
        <v>1130434500</v>
      </c>
    </row>
    <row r="56" spans="1:1" x14ac:dyDescent="0.2">
      <c r="A56">
        <v>1174396869</v>
      </c>
    </row>
    <row r="57" spans="1:1" x14ac:dyDescent="0.2">
      <c r="A57">
        <v>2261360582</v>
      </c>
    </row>
    <row r="58" spans="1:1" x14ac:dyDescent="0.2">
      <c r="A58">
        <v>3107042247</v>
      </c>
    </row>
    <row r="59" spans="1:1" x14ac:dyDescent="0.2">
      <c r="A59">
        <v>618178504</v>
      </c>
    </row>
    <row r="60" spans="1:1" x14ac:dyDescent="0.2">
      <c r="A60">
        <v>2577157065</v>
      </c>
    </row>
    <row r="61" spans="1:1" x14ac:dyDescent="0.2">
      <c r="A61">
        <v>1685260234</v>
      </c>
    </row>
    <row r="62" spans="1:1" x14ac:dyDescent="0.2">
      <c r="A62">
        <v>1037724619</v>
      </c>
    </row>
    <row r="63" spans="1:1" x14ac:dyDescent="0.2">
      <c r="A63">
        <v>3619554252</v>
      </c>
    </row>
    <row r="64" spans="1:1" x14ac:dyDescent="0.2">
      <c r="A64">
        <v>2948291533</v>
      </c>
    </row>
    <row r="65" spans="1:1" x14ac:dyDescent="0.2">
      <c r="A65">
        <v>265383886</v>
      </c>
    </row>
    <row r="66" spans="1:1" x14ac:dyDescent="0.2">
      <c r="A66">
        <v>1526486991</v>
      </c>
    </row>
    <row r="67" spans="1:1" x14ac:dyDescent="0.2">
      <c r="A67">
        <v>1002842064</v>
      </c>
    </row>
    <row r="68" spans="1:1" x14ac:dyDescent="0.2">
      <c r="A68">
        <v>2959909841</v>
      </c>
    </row>
    <row r="69" spans="1:1" x14ac:dyDescent="0.2">
      <c r="A69">
        <v>139870162</v>
      </c>
    </row>
    <row r="70" spans="1:1" x14ac:dyDescent="0.2">
      <c r="A70">
        <v>691916334</v>
      </c>
    </row>
    <row r="71" spans="1:1" x14ac:dyDescent="0.2">
      <c r="A71">
        <v>2797798959</v>
      </c>
    </row>
    <row r="72" spans="1:1" x14ac:dyDescent="0.2">
      <c r="A72">
        <v>1026922032</v>
      </c>
    </row>
    <row r="73" spans="1:1" x14ac:dyDescent="0.2">
      <c r="A73">
        <v>2238286385</v>
      </c>
    </row>
    <row r="74" spans="1:1" x14ac:dyDescent="0.2">
      <c r="A74">
        <v>3091546674</v>
      </c>
    </row>
    <row r="75" spans="1:1" x14ac:dyDescent="0.2">
      <c r="A75">
        <v>1242593843</v>
      </c>
    </row>
    <row r="76" spans="1:1" x14ac:dyDescent="0.2">
      <c r="A76">
        <v>2466080308</v>
      </c>
    </row>
    <row r="77" spans="1:1" x14ac:dyDescent="0.2">
      <c r="A77">
        <v>1131968053</v>
      </c>
    </row>
    <row r="78" spans="1:1" x14ac:dyDescent="0.2">
      <c r="A78">
        <v>2971797046</v>
      </c>
    </row>
    <row r="79" spans="1:1" x14ac:dyDescent="0.2">
      <c r="A79">
        <v>1492466231</v>
      </c>
    </row>
    <row r="80" spans="1:1" x14ac:dyDescent="0.2">
      <c r="A80">
        <v>296775224</v>
      </c>
    </row>
    <row r="81" spans="1:1" x14ac:dyDescent="0.2">
      <c r="A81">
        <v>2548022841</v>
      </c>
    </row>
    <row r="82" spans="1:1" x14ac:dyDescent="0.2">
      <c r="A82">
        <v>1000615482</v>
      </c>
    </row>
    <row r="83" spans="1:1" x14ac:dyDescent="0.2">
      <c r="A83">
        <v>3502227003</v>
      </c>
    </row>
    <row r="84" spans="1:1" x14ac:dyDescent="0.2">
      <c r="A84">
        <v>246421052</v>
      </c>
    </row>
    <row r="85" spans="1:1" x14ac:dyDescent="0.2">
      <c r="A85">
        <v>185778749</v>
      </c>
    </row>
    <row r="86" spans="1:1" x14ac:dyDescent="0.2">
      <c r="A86">
        <v>2781242942</v>
      </c>
    </row>
    <row r="87" spans="1:1" x14ac:dyDescent="0.2">
      <c r="A87">
        <v>1610990143</v>
      </c>
    </row>
    <row r="88" spans="1:1" x14ac:dyDescent="0.2">
      <c r="A88">
        <v>2074893888</v>
      </c>
    </row>
    <row r="89" spans="1:1" x14ac:dyDescent="0.2">
      <c r="A89">
        <v>2165583425</v>
      </c>
    </row>
    <row r="90" spans="1:1" x14ac:dyDescent="0.2">
      <c r="A90">
        <v>1337506370</v>
      </c>
    </row>
    <row r="91" spans="1:1" x14ac:dyDescent="0.2">
      <c r="A91">
        <v>810930755</v>
      </c>
    </row>
    <row r="92" spans="1:1" x14ac:dyDescent="0.2">
      <c r="A92">
        <v>1833735748</v>
      </c>
    </row>
    <row r="93" spans="1:1" x14ac:dyDescent="0.2">
      <c r="A93">
        <v>1246384709</v>
      </c>
    </row>
    <row r="94" spans="1:1" x14ac:dyDescent="0.2">
      <c r="A94">
        <v>3421019718</v>
      </c>
    </row>
    <row r="95" spans="1:1" x14ac:dyDescent="0.2">
      <c r="A95">
        <v>3830065735</v>
      </c>
    </row>
    <row r="96" spans="1:1" x14ac:dyDescent="0.2">
      <c r="A96">
        <v>238068296</v>
      </c>
    </row>
    <row r="97" spans="1:1" x14ac:dyDescent="0.2">
      <c r="A97">
        <v>3802525257</v>
      </c>
    </row>
    <row r="98" spans="1:1" x14ac:dyDescent="0.2">
      <c r="A98">
        <v>3747206730</v>
      </c>
    </row>
    <row r="99" spans="1:1" x14ac:dyDescent="0.2">
      <c r="A99">
        <v>1543323211</v>
      </c>
    </row>
    <row r="100" spans="1:1" x14ac:dyDescent="0.2">
      <c r="A100">
        <v>1945340492</v>
      </c>
    </row>
    <row r="101" spans="1:1" x14ac:dyDescent="0.2">
      <c r="A101">
        <v>459481677</v>
      </c>
    </row>
    <row r="102" spans="1:1" x14ac:dyDescent="0.2">
      <c r="A102">
        <v>1286458958</v>
      </c>
    </row>
    <row r="103" spans="1:1" x14ac:dyDescent="0.2">
      <c r="A103">
        <v>3308435023</v>
      </c>
    </row>
    <row r="104" spans="1:1" x14ac:dyDescent="0.2">
      <c r="A104">
        <v>3879831120</v>
      </c>
    </row>
    <row r="105" spans="1:1" x14ac:dyDescent="0.2">
      <c r="A105">
        <v>2383259217</v>
      </c>
    </row>
    <row r="106" spans="1:1" x14ac:dyDescent="0.2">
      <c r="A106">
        <v>365343314</v>
      </c>
    </row>
    <row r="107" spans="1:1" x14ac:dyDescent="0.2">
      <c r="A107">
        <v>1549847123</v>
      </c>
    </row>
    <row r="108" spans="1:1" x14ac:dyDescent="0.2">
      <c r="A108">
        <v>1711346260</v>
      </c>
    </row>
    <row r="109" spans="1:1" x14ac:dyDescent="0.2">
      <c r="A109">
        <v>4257538645</v>
      </c>
    </row>
    <row r="110" spans="1:1" x14ac:dyDescent="0.2">
      <c r="A110">
        <v>3093918294</v>
      </c>
    </row>
    <row r="111" spans="1:1" x14ac:dyDescent="0.2">
      <c r="A111">
        <v>1811858007</v>
      </c>
    </row>
    <row r="112" spans="1:1" x14ac:dyDescent="0.2">
      <c r="A112">
        <v>2266272344</v>
      </c>
    </row>
    <row r="113" spans="1:1" x14ac:dyDescent="0.2">
      <c r="A113">
        <v>3534739033</v>
      </c>
    </row>
    <row r="114" spans="1:1" x14ac:dyDescent="0.2">
      <c r="A114">
        <v>1234309722</v>
      </c>
    </row>
    <row r="115" spans="1:1" x14ac:dyDescent="0.2">
      <c r="A115">
        <v>1040801371</v>
      </c>
    </row>
    <row r="116" spans="1:1" x14ac:dyDescent="0.2">
      <c r="A116">
        <v>1696733788</v>
      </c>
    </row>
    <row r="117" spans="1:1" x14ac:dyDescent="0.2">
      <c r="A117">
        <v>1915405917</v>
      </c>
    </row>
    <row r="118" spans="1:1" x14ac:dyDescent="0.2">
      <c r="A118">
        <v>3197930078</v>
      </c>
    </row>
    <row r="119" spans="1:1" x14ac:dyDescent="0.2">
      <c r="A119">
        <v>2176688735</v>
      </c>
    </row>
    <row r="120" spans="1:1" x14ac:dyDescent="0.2">
      <c r="A120">
        <v>3809386175</v>
      </c>
    </row>
    <row r="121" spans="1:1" x14ac:dyDescent="0.2">
      <c r="A121">
        <v>247190208</v>
      </c>
    </row>
    <row r="122" spans="1:1" x14ac:dyDescent="0.2">
      <c r="A122">
        <v>3785662145</v>
      </c>
    </row>
    <row r="123" spans="1:1" x14ac:dyDescent="0.2">
      <c r="A123">
        <v>3852823234</v>
      </c>
    </row>
    <row r="124" spans="1:1" x14ac:dyDescent="0.2">
      <c r="A124">
        <v>177872579</v>
      </c>
    </row>
    <row r="125" spans="1:1" x14ac:dyDescent="0.2">
      <c r="A125">
        <v>3330440900</v>
      </c>
    </row>
    <row r="126" spans="1:1" x14ac:dyDescent="0.2">
      <c r="A126">
        <v>2838615749</v>
      </c>
    </row>
    <row r="127" spans="1:1" x14ac:dyDescent="0.2">
      <c r="A127">
        <v>3111710406</v>
      </c>
    </row>
    <row r="128" spans="1:1" x14ac:dyDescent="0.2">
      <c r="A128">
        <v>769615559</v>
      </c>
    </row>
    <row r="129" spans="1:1" x14ac:dyDescent="0.2">
      <c r="A129">
        <v>2564463304</v>
      </c>
    </row>
    <row r="130" spans="1:1" x14ac:dyDescent="0.2">
      <c r="A130">
        <v>3326313161</v>
      </c>
    </row>
    <row r="131" spans="1:1" x14ac:dyDescent="0.2">
      <c r="A131">
        <v>2360782538</v>
      </c>
    </row>
    <row r="132" spans="1:1" x14ac:dyDescent="0.2">
      <c r="A132">
        <v>3521305291</v>
      </c>
    </row>
    <row r="133" spans="1:1" x14ac:dyDescent="0.2">
      <c r="A133">
        <v>633026252</v>
      </c>
    </row>
    <row r="134" spans="1:1" x14ac:dyDescent="0.2">
      <c r="A134">
        <v>144538317</v>
      </c>
    </row>
    <row r="135" spans="1:1" x14ac:dyDescent="0.2">
      <c r="A135">
        <v>3512083150</v>
      </c>
    </row>
    <row r="136" spans="1:1" x14ac:dyDescent="0.2">
      <c r="A136">
        <v>693467855</v>
      </c>
    </row>
    <row r="137" spans="1:1" x14ac:dyDescent="0.2">
      <c r="A137">
        <v>2015946448</v>
      </c>
    </row>
    <row r="138" spans="1:1" x14ac:dyDescent="0.2">
      <c r="A138">
        <v>1443236561</v>
      </c>
    </row>
    <row r="139" spans="1:1" x14ac:dyDescent="0.2">
      <c r="A139">
        <v>97265362</v>
      </c>
    </row>
    <row r="140" spans="1:1" x14ac:dyDescent="0.2">
      <c r="A140">
        <v>2322624211</v>
      </c>
    </row>
    <row r="141" spans="1:1" x14ac:dyDescent="0.2">
      <c r="A141">
        <v>3364658900</v>
      </c>
    </row>
    <row r="142" spans="1:1" x14ac:dyDescent="0.2">
      <c r="A142">
        <v>2605784789</v>
      </c>
    </row>
    <row r="143" spans="1:1" x14ac:dyDescent="0.2">
      <c r="A143">
        <v>3583284950</v>
      </c>
    </row>
    <row r="144" spans="1:1" x14ac:dyDescent="0.2">
      <c r="A144">
        <v>2970446551</v>
      </c>
    </row>
    <row r="145" spans="1:1" x14ac:dyDescent="0.2">
      <c r="A145">
        <v>1517395672</v>
      </c>
    </row>
    <row r="146" spans="1:1" x14ac:dyDescent="0.2">
      <c r="A146">
        <v>65030873</v>
      </c>
    </row>
    <row r="147" spans="1:1" x14ac:dyDescent="0.2">
      <c r="A147">
        <v>3041730266</v>
      </c>
    </row>
    <row r="148" spans="1:1" x14ac:dyDescent="0.2">
      <c r="A148">
        <v>3859302107</v>
      </c>
    </row>
    <row r="149" spans="1:1" x14ac:dyDescent="0.2">
      <c r="A149">
        <v>2164387548</v>
      </c>
    </row>
    <row r="150" spans="1:1" x14ac:dyDescent="0.2">
      <c r="A150">
        <v>2092009181</v>
      </c>
    </row>
    <row r="151" spans="1:1" x14ac:dyDescent="0.2">
      <c r="A151">
        <v>4046412510</v>
      </c>
    </row>
    <row r="152" spans="1:1" x14ac:dyDescent="0.2">
      <c r="A152">
        <v>1286437599</v>
      </c>
    </row>
    <row r="153" spans="1:1" x14ac:dyDescent="0.2">
      <c r="A153">
        <v>2166573792</v>
      </c>
    </row>
    <row r="154" spans="1:1" x14ac:dyDescent="0.2">
      <c r="A154">
        <v>1389883105</v>
      </c>
    </row>
    <row r="155" spans="1:1" x14ac:dyDescent="0.2">
      <c r="A155">
        <v>509790946</v>
      </c>
    </row>
    <row r="156" spans="1:1" x14ac:dyDescent="0.2">
      <c r="A156">
        <v>2754110179</v>
      </c>
    </row>
    <row r="157" spans="1:1" x14ac:dyDescent="0.2">
      <c r="A157">
        <v>323082980</v>
      </c>
    </row>
    <row r="158" spans="1:1" x14ac:dyDescent="0.2">
      <c r="A158">
        <v>1224223461</v>
      </c>
    </row>
    <row r="159" spans="1:1" x14ac:dyDescent="0.2">
      <c r="A159">
        <v>1111507686</v>
      </c>
    </row>
    <row r="160" spans="1:1" x14ac:dyDescent="0.2">
      <c r="A160">
        <v>144429799</v>
      </c>
    </row>
    <row r="161" spans="1:1" x14ac:dyDescent="0.2">
      <c r="A161">
        <v>4049119976</v>
      </c>
    </row>
    <row r="162" spans="1:1" x14ac:dyDescent="0.2">
      <c r="A162">
        <v>849172201</v>
      </c>
    </row>
    <row r="163" spans="1:1" x14ac:dyDescent="0.2">
      <c r="A163">
        <v>4034040554</v>
      </c>
    </row>
    <row r="164" spans="1:1" x14ac:dyDescent="0.2">
      <c r="A164">
        <v>1446818539</v>
      </c>
    </row>
    <row r="165" spans="1:1" x14ac:dyDescent="0.2">
      <c r="A165">
        <v>2395002604</v>
      </c>
    </row>
    <row r="166" spans="1:1" x14ac:dyDescent="0.2">
      <c r="A166">
        <v>2569959149</v>
      </c>
    </row>
    <row r="167" spans="1:1" x14ac:dyDescent="0.2">
      <c r="A167">
        <v>3472019182</v>
      </c>
    </row>
    <row r="168" spans="1:1" x14ac:dyDescent="0.2">
      <c r="A168">
        <v>1765543663</v>
      </c>
    </row>
    <row r="169" spans="1:1" x14ac:dyDescent="0.2">
      <c r="A169">
        <v>2203009776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5sec_morning</vt:lpstr>
      <vt:lpstr>5sec_morning_ACK</vt:lpstr>
      <vt:lpstr>20sec_morning</vt:lpstr>
      <vt:lpstr>20sec_morning_ACK</vt:lpstr>
      <vt:lpstr>40sec_morning</vt:lpstr>
      <vt:lpstr>40sec_morning_ACK</vt:lpstr>
      <vt:lpstr>1min_morning</vt:lpstr>
      <vt:lpstr>1min_morning_ACK</vt:lpstr>
      <vt:lpstr>5sec_afternoon</vt:lpstr>
      <vt:lpstr>5sec_afternoon_ACK</vt:lpstr>
      <vt:lpstr>20sec_afternon</vt:lpstr>
      <vt:lpstr>20sec_afternoon_ACK</vt:lpstr>
      <vt:lpstr>40sec_afternoon</vt:lpstr>
      <vt:lpstr>40sec_afternoon_ACK</vt:lpstr>
      <vt:lpstr>1min_afternoon</vt:lpstr>
      <vt:lpstr>1min_afternoon_ACK</vt:lpstr>
      <vt:lpstr>total</vt:lpstr>
      <vt:lpstr>allACK</vt:lpstr>
      <vt:lpstr>allACK!Extract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Earle</cp:lastModifiedBy>
  <dcterms:created xsi:type="dcterms:W3CDTF">2026-07-02T15:40:38Z</dcterms:created>
  <dcterms:modified xsi:type="dcterms:W3CDTF">2026-07-03T18:20:35Z</dcterms:modified>
</cp:coreProperties>
</file>