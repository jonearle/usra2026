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/usra2026/data/dynamic_test/"/>
    </mc:Choice>
  </mc:AlternateContent>
  <xr:revisionPtr revIDLastSave="0" documentId="13_ncr:1_{99C3470D-D2F8-5E46-A20D-1C4C81097BFF}" xr6:coauthVersionLast="47" xr6:coauthVersionMax="47" xr10:uidLastSave="{00000000-0000-0000-0000-000000000000}"/>
  <bookViews>
    <workbookView xWindow="12100" yWindow="500" windowWidth="16700" windowHeight="17500" activeTab="1" xr2:uid="{242F5C09-2629-5B4F-9A1A-8A58ACE0AAAB}"/>
  </bookViews>
  <sheets>
    <sheet name="dynamic_test_3hop" sheetId="1" r:id="rId1"/>
    <sheet name="dynamic_test_7hop" sheetId="3" r:id="rId2"/>
    <sheet name="extra" sheetId="2" r:id="rId3"/>
  </sheets>
  <definedNames>
    <definedName name="_xlnm._FilterDatabase" localSheetId="2" hidden="1">extra!$I$1:$I$302</definedName>
    <definedName name="_xlchart.v1.0" hidden="1">extra!$A$10:$A$18</definedName>
    <definedName name="_xlchart.v1.1" hidden="1">extra!$A$19:$A$23</definedName>
    <definedName name="_xlchart.v1.10" hidden="1">extra!$H$2:$H$22</definedName>
    <definedName name="_xlchart.v1.11" hidden="1">extra!$H$34:$H$46</definedName>
    <definedName name="_xlchart.v1.12" hidden="1">extra!$H$47:$H$61</definedName>
    <definedName name="_xlchart.v1.13" hidden="1">extra!$H$62</definedName>
    <definedName name="_xlchart.v1.14" hidden="1">extra!$H$63</definedName>
    <definedName name="_xlchart.v1.15" hidden="1">extra!$N$20</definedName>
    <definedName name="_xlchart.v1.16" hidden="1">extra!$A$10:$A$18</definedName>
    <definedName name="_xlchart.v1.17" hidden="1">extra!$A$19:$A$23</definedName>
    <definedName name="_xlchart.v1.18" hidden="1">extra!$A$24:$A$27</definedName>
    <definedName name="_xlchart.v1.19" hidden="1">extra!$A$2:$A$9</definedName>
    <definedName name="_xlchart.v1.2" hidden="1">extra!$A$24:$A$27</definedName>
    <definedName name="_xlchart.v1.20" hidden="1">extra!$A$10:$A$18</definedName>
    <definedName name="_xlchart.v1.21" hidden="1">extra!$A$19:$A$23</definedName>
    <definedName name="_xlchart.v1.22" hidden="1">extra!$A$24:$A$27</definedName>
    <definedName name="_xlchart.v1.23" hidden="1">extra!$A$2:$A$9</definedName>
    <definedName name="_xlchart.v1.24" hidden="1">extra!$H$23:$H$33</definedName>
    <definedName name="_xlchart.v1.25" hidden="1">extra!$H$2:$H$22</definedName>
    <definedName name="_xlchart.v1.26" hidden="1">extra!$H$34:$H$46</definedName>
    <definedName name="_xlchart.v1.27" hidden="1">extra!$H$47:$H$61</definedName>
    <definedName name="_xlchart.v1.28" hidden="1">extra!$H$62</definedName>
    <definedName name="_xlchart.v1.29" hidden="1">extra!$H$63</definedName>
    <definedName name="_xlchart.v1.3" hidden="1">extra!$A$2:$A$9</definedName>
    <definedName name="_xlchart.v1.30" hidden="1">extra!$N$20</definedName>
    <definedName name="_xlchart.v1.31" hidden="1">extra!$A$10:$A$18</definedName>
    <definedName name="_xlchart.v1.32" hidden="1">extra!$A$19:$A$23</definedName>
    <definedName name="_xlchart.v1.33" hidden="1">extra!$A$24:$A$27</definedName>
    <definedName name="_xlchart.v1.34" hidden="1">extra!$A$2:$A$9</definedName>
    <definedName name="_xlchart.v1.35" hidden="1">extra!$H$23:$H$33</definedName>
    <definedName name="_xlchart.v1.36" hidden="1">extra!$H$2:$H$22</definedName>
    <definedName name="_xlchart.v1.37" hidden="1">extra!$H$34:$H$46</definedName>
    <definedName name="_xlchart.v1.38" hidden="1">extra!$H$47:$H$61</definedName>
    <definedName name="_xlchart.v1.39" hidden="1">extra!$H$62</definedName>
    <definedName name="_xlchart.v1.4" hidden="1">extra!$I$11</definedName>
    <definedName name="_xlchart.v1.40" hidden="1">extra!$H$63</definedName>
    <definedName name="_xlchart.v1.41" hidden="1">extra!$N$20</definedName>
    <definedName name="_xlchart.v1.42" hidden="1">extra!$A$10:$A$18</definedName>
    <definedName name="_xlchart.v1.43" hidden="1">extra!$A$19:$A$23</definedName>
    <definedName name="_xlchart.v1.44" hidden="1">extra!$A$24:$A$27</definedName>
    <definedName name="_xlchart.v1.45" hidden="1">extra!$A$2:$A$9</definedName>
    <definedName name="_xlchart.v1.46" hidden="1">extra!$H$23:$H$33</definedName>
    <definedName name="_xlchart.v1.47" hidden="1">extra!$H$2:$H$22</definedName>
    <definedName name="_xlchart.v1.48" hidden="1">extra!$H$34:$H$46</definedName>
    <definedName name="_xlchart.v1.49" hidden="1">extra!$H$47:$H$61</definedName>
    <definedName name="_xlchart.v1.5" hidden="1">extra!$A$10:$A$18</definedName>
    <definedName name="_xlchart.v1.50" hidden="1">extra!$H$62</definedName>
    <definedName name="_xlchart.v1.51" hidden="1">extra!$H$63</definedName>
    <definedName name="_xlchart.v1.52" hidden="1">extra!$N$20</definedName>
    <definedName name="_xlchart.v1.53" hidden="1">extra!$A$10:$A$18</definedName>
    <definedName name="_xlchart.v1.54" hidden="1">extra!$A$19:$A$23</definedName>
    <definedName name="_xlchart.v1.55" hidden="1">extra!$A$24:$A$27</definedName>
    <definedName name="_xlchart.v1.56" hidden="1">extra!$A$2:$A$9</definedName>
    <definedName name="_xlchart.v1.57" hidden="1">extra!$H$23:$H$33</definedName>
    <definedName name="_xlchart.v1.58" hidden="1">extra!$H$2:$H$22</definedName>
    <definedName name="_xlchart.v1.59" hidden="1">extra!$H$34:$H$46</definedName>
    <definedName name="_xlchart.v1.6" hidden="1">extra!$A$19:$A$23</definedName>
    <definedName name="_xlchart.v1.60" hidden="1">extra!$H$47:$H$61</definedName>
    <definedName name="_xlchart.v1.61" hidden="1">extra!$H$62</definedName>
    <definedName name="_xlchart.v1.62" hidden="1">extra!$H$63</definedName>
    <definedName name="_xlchart.v1.63" hidden="1">extra!$N$20</definedName>
    <definedName name="_xlchart.v1.64" hidden="1">extra!$A$10:$A$18</definedName>
    <definedName name="_xlchart.v1.65" hidden="1">extra!$A$19:$A$23</definedName>
    <definedName name="_xlchart.v1.66" hidden="1">extra!$A$24:$A$27</definedName>
    <definedName name="_xlchart.v1.67" hidden="1">extra!$A$2:$A$9</definedName>
    <definedName name="_xlchart.v1.68" hidden="1">extra!$H$23:$H$33</definedName>
    <definedName name="_xlchart.v1.69" hidden="1">extra!$H$2:$H$22</definedName>
    <definedName name="_xlchart.v1.7" hidden="1">extra!$A$24:$A$27</definedName>
    <definedName name="_xlchart.v1.70" hidden="1">extra!$H$34:$H$46</definedName>
    <definedName name="_xlchart.v1.71" hidden="1">extra!$H$47:$H$61</definedName>
    <definedName name="_xlchart.v1.72" hidden="1">extra!$H$62</definedName>
    <definedName name="_xlchart.v1.73" hidden="1">extra!$H$63</definedName>
    <definedName name="_xlchart.v1.74" hidden="1">extra!$N$20</definedName>
    <definedName name="_xlchart.v1.75" hidden="1">extra!$A$10:$A$18</definedName>
    <definedName name="_xlchart.v1.76" hidden="1">extra!$A$19:$A$23</definedName>
    <definedName name="_xlchart.v1.77" hidden="1">extra!$A$24:$A$27</definedName>
    <definedName name="_xlchart.v1.78" hidden="1">extra!$A$2:$A$9</definedName>
    <definedName name="_xlchart.v1.79" hidden="1">extra!$H$23:$H$33</definedName>
    <definedName name="_xlchart.v1.8" hidden="1">extra!$A$2:$A$9</definedName>
    <definedName name="_xlchart.v1.80" hidden="1">extra!$H$2:$H$22</definedName>
    <definedName name="_xlchart.v1.81" hidden="1">extra!$H$34:$H$46</definedName>
    <definedName name="_xlchart.v1.82" hidden="1">extra!$H$47:$H$61</definedName>
    <definedName name="_xlchart.v1.83" hidden="1">extra!$H$62</definedName>
    <definedName name="_xlchart.v1.84" hidden="1">extra!$H$63</definedName>
    <definedName name="_xlchart.v1.85" hidden="1">extra!$N$20</definedName>
    <definedName name="_xlchart.v1.86" hidden="1">extra!$A$10:$A$18</definedName>
    <definedName name="_xlchart.v1.87" hidden="1">extra!$A$19:$A$23</definedName>
    <definedName name="_xlchart.v1.88" hidden="1">extra!$A$24:$A$27</definedName>
    <definedName name="_xlchart.v1.89" hidden="1">extra!$A$2:$A$9</definedName>
    <definedName name="_xlchart.v1.9" hidden="1">extra!$H$23:$H$33</definedName>
    <definedName name="_xlchart.v1.90" hidden="1">extra!$H$23:$H$33</definedName>
    <definedName name="_xlchart.v1.91" hidden="1">extra!$H$2:$H$22</definedName>
    <definedName name="_xlchart.v1.92" hidden="1">extra!$H$34:$H$46</definedName>
    <definedName name="_xlchart.v1.93" hidden="1">extra!$H$47:$H$61</definedName>
    <definedName name="_xlchart.v1.94" hidden="1">extra!$H$62</definedName>
    <definedName name="_xlchart.v1.95" hidden="1">extra!$H$63</definedName>
    <definedName name="_xlchart.v1.96" hidden="1">extra!$N$20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3" l="1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R2" i="3"/>
  <c r="T2" i="3"/>
  <c r="S2" i="3"/>
  <c r="V2" i="3"/>
  <c r="U2" i="3"/>
  <c r="Q2" i="3"/>
  <c r="P2" i="3"/>
  <c r="J4" i="2"/>
  <c r="L4" i="2" s="1"/>
  <c r="J7" i="2"/>
  <c r="L7" i="2" s="1"/>
  <c r="J6" i="2"/>
  <c r="L6" i="2" s="1"/>
  <c r="J5" i="2"/>
  <c r="L5" i="2" s="1"/>
  <c r="J3" i="2"/>
  <c r="L3" i="2" s="1"/>
  <c r="J2" i="2"/>
  <c r="L2" i="2" s="1"/>
  <c r="M2" i="2" s="1"/>
  <c r="I3" i="2"/>
  <c r="I4" i="2"/>
  <c r="I5" i="2"/>
  <c r="I6" i="2"/>
  <c r="I7" i="2"/>
  <c r="I8" i="2"/>
  <c r="I9" i="2"/>
  <c r="I10" i="2"/>
  <c r="I11" i="2"/>
  <c r="I12" i="2"/>
  <c r="I13" i="2"/>
  <c r="I23" i="2"/>
  <c r="I24" i="2"/>
  <c r="I47" i="2"/>
  <c r="I48" i="2"/>
  <c r="I34" i="2"/>
  <c r="I25" i="2"/>
  <c r="I26" i="2"/>
  <c r="I27" i="2"/>
  <c r="I14" i="2"/>
  <c r="I28" i="2"/>
  <c r="I29" i="2"/>
  <c r="I30" i="2"/>
  <c r="I31" i="2"/>
  <c r="I35" i="2"/>
  <c r="I36" i="2"/>
  <c r="I37" i="2"/>
  <c r="I49" i="2"/>
  <c r="I50" i="2"/>
  <c r="I51" i="2"/>
  <c r="I52" i="2"/>
  <c r="I53" i="2"/>
  <c r="I54" i="2"/>
  <c r="I55" i="2"/>
  <c r="I56" i="2"/>
  <c r="I62" i="2"/>
  <c r="I57" i="2"/>
  <c r="I63" i="2"/>
  <c r="I58" i="2"/>
  <c r="I59" i="2"/>
  <c r="I38" i="2"/>
  <c r="I60" i="2"/>
  <c r="I39" i="2"/>
  <c r="I40" i="2"/>
  <c r="I41" i="2"/>
  <c r="I42" i="2"/>
  <c r="I43" i="2"/>
  <c r="I61" i="2"/>
  <c r="I44" i="2"/>
  <c r="I45" i="2"/>
  <c r="I46" i="2"/>
  <c r="I32" i="2"/>
  <c r="I33" i="2"/>
  <c r="I15" i="2"/>
  <c r="I16" i="2"/>
  <c r="I17" i="2"/>
  <c r="I18" i="2"/>
  <c r="I19" i="2"/>
  <c r="I20" i="2"/>
  <c r="I21" i="2"/>
  <c r="I22" i="2"/>
  <c r="I2" i="2"/>
  <c r="H3" i="2"/>
  <c r="H4" i="2"/>
  <c r="H5" i="2"/>
  <c r="H6" i="2"/>
  <c r="H7" i="2"/>
  <c r="H8" i="2"/>
  <c r="H9" i="2"/>
  <c r="H10" i="2"/>
  <c r="H11" i="2"/>
  <c r="H12" i="2"/>
  <c r="H13" i="2"/>
  <c r="H23" i="2"/>
  <c r="H24" i="2"/>
  <c r="H47" i="2"/>
  <c r="H48" i="2"/>
  <c r="H34" i="2"/>
  <c r="H25" i="2"/>
  <c r="H26" i="2"/>
  <c r="H27" i="2"/>
  <c r="H14" i="2"/>
  <c r="H28" i="2"/>
  <c r="H29" i="2"/>
  <c r="H30" i="2"/>
  <c r="H31" i="2"/>
  <c r="H35" i="2"/>
  <c r="H36" i="2"/>
  <c r="H37" i="2"/>
  <c r="H49" i="2"/>
  <c r="H50" i="2"/>
  <c r="H51" i="2"/>
  <c r="H52" i="2"/>
  <c r="H53" i="2"/>
  <c r="H54" i="2"/>
  <c r="H55" i="2"/>
  <c r="H56" i="2"/>
  <c r="H62" i="2"/>
  <c r="H57" i="2"/>
  <c r="H63" i="2"/>
  <c r="H58" i="2"/>
  <c r="H59" i="2"/>
  <c r="H38" i="2"/>
  <c r="H60" i="2"/>
  <c r="H39" i="2"/>
  <c r="H40" i="2"/>
  <c r="H41" i="2"/>
  <c r="H42" i="2"/>
  <c r="H43" i="2"/>
  <c r="H61" i="2"/>
  <c r="H44" i="2"/>
  <c r="H45" i="2"/>
  <c r="H46" i="2"/>
  <c r="H32" i="2"/>
  <c r="H33" i="2"/>
  <c r="H15" i="2"/>
  <c r="H16" i="2"/>
  <c r="H17" i="2"/>
  <c r="H18" i="2"/>
  <c r="H19" i="2"/>
  <c r="H20" i="2"/>
  <c r="H21" i="2"/>
  <c r="H22" i="2"/>
  <c r="H2" i="2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2" i="3"/>
  <c r="O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2" i="3"/>
  <c r="O2" i="1"/>
  <c r="E5" i="2"/>
  <c r="E4" i="2"/>
  <c r="E3" i="2"/>
  <c r="E2" i="2"/>
  <c r="B3" i="2"/>
  <c r="B4" i="2"/>
  <c r="B5" i="2"/>
  <c r="B10" i="2"/>
  <c r="B11" i="2"/>
  <c r="B19" i="2"/>
  <c r="B24" i="2"/>
  <c r="B25" i="2"/>
  <c r="B26" i="2"/>
  <c r="B20" i="2"/>
  <c r="B12" i="2"/>
  <c r="B13" i="2"/>
  <c r="B14" i="2"/>
  <c r="B21" i="2"/>
  <c r="B22" i="2"/>
  <c r="B15" i="2"/>
  <c r="B27" i="2"/>
  <c r="B23" i="2"/>
  <c r="B16" i="2"/>
  <c r="B17" i="2"/>
  <c r="B18" i="2"/>
  <c r="B6" i="2"/>
  <c r="B7" i="2"/>
  <c r="B8" i="2"/>
  <c r="B9" i="2"/>
  <c r="B2" i="2"/>
  <c r="A3" i="2"/>
  <c r="A4" i="2"/>
  <c r="A5" i="2"/>
  <c r="A10" i="2"/>
  <c r="A11" i="2"/>
  <c r="A19" i="2"/>
  <c r="A24" i="2"/>
  <c r="A25" i="2"/>
  <c r="A26" i="2"/>
  <c r="A20" i="2"/>
  <c r="A12" i="2"/>
  <c r="A13" i="2"/>
  <c r="A14" i="2"/>
  <c r="A21" i="2"/>
  <c r="A22" i="2"/>
  <c r="A15" i="2"/>
  <c r="A27" i="2"/>
  <c r="A23" i="2"/>
  <c r="A16" i="2"/>
  <c r="A17" i="2"/>
  <c r="A18" i="2"/>
  <c r="A6" i="2"/>
  <c r="A7" i="2"/>
  <c r="A8" i="2"/>
  <c r="A9" i="2"/>
  <c r="A2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" i="1"/>
</calcChain>
</file>

<file path=xl/sharedStrings.xml><?xml version="1.0" encoding="utf-8"?>
<sst xmlns="http://schemas.openxmlformats.org/spreadsheetml/2006/main" count="317" uniqueCount="207">
  <si>
    <t>localID</t>
  </si>
  <si>
    <t>packetID</t>
  </si>
  <si>
    <t>nodeID</t>
  </si>
  <si>
    <t>sendTime</t>
  </si>
  <si>
    <t>receivedTime</t>
  </si>
  <si>
    <t>rssi</t>
  </si>
  <si>
    <t>snr</t>
  </si>
  <si>
    <t>lat</t>
  </si>
  <si>
    <t>long</t>
  </si>
  <si>
    <t>alt</t>
  </si>
  <si>
    <t>hopStart</t>
  </si>
  <si>
    <t>hopLimit</t>
  </si>
  <si>
    <t>!dadfb03c</t>
  </si>
  <si>
    <t>1783607744.8772821</t>
  </si>
  <si>
    <t>1783607747.1792386</t>
  </si>
  <si>
    <t>1783607774.996068</t>
  </si>
  <si>
    <t>1783607777.1019025</t>
  </si>
  <si>
    <t>1783607805.116203</t>
  </si>
  <si>
    <t>1783607807.083689</t>
  </si>
  <si>
    <t>1783607865.351221</t>
  </si>
  <si>
    <t>1783607867.265962</t>
  </si>
  <si>
    <t>1783607895.464409</t>
  </si>
  <si>
    <t>1783607900.216167</t>
  </si>
  <si>
    <t>1783608015.924809</t>
  </si>
  <si>
    <t>1783608020.124709</t>
  </si>
  <si>
    <t>1783608106.2908878</t>
  </si>
  <si>
    <t>1783608113.5910997</t>
  </si>
  <si>
    <t>1783608256.9066129</t>
  </si>
  <si>
    <t>1783608265.131039</t>
  </si>
  <si>
    <t>1783608528.0274801</t>
  </si>
  <si>
    <t>1783608535.955114</t>
  </si>
  <si>
    <t>1783608648.514365</t>
  </si>
  <si>
    <t>1783608657.2877207</t>
  </si>
  <si>
    <t>1783608678.640099</t>
  </si>
  <si>
    <t>1783608685.6454601</t>
  </si>
  <si>
    <t>1783608708.768106</t>
  </si>
  <si>
    <t>1783608712.8818574</t>
  </si>
  <si>
    <t>1783608738.896904</t>
  </si>
  <si>
    <t>1783608743.2310798</t>
  </si>
  <si>
    <t>1783608799.151428</t>
  </si>
  <si>
    <t>1783608802.8935812</t>
  </si>
  <si>
    <t>1783608859.406923</t>
  </si>
  <si>
    <t>1783608869.445931</t>
  </si>
  <si>
    <t>1783608889.534632</t>
  </si>
  <si>
    <t>1783608896.2272413</t>
  </si>
  <si>
    <t>1783608949.779661</t>
  </si>
  <si>
    <t>1783608953.607958</t>
  </si>
  <si>
    <t>1783609010.028699</t>
  </si>
  <si>
    <t>1783609019.4571238</t>
  </si>
  <si>
    <t>1783609040.147904</t>
  </si>
  <si>
    <t>1783609048.4374907</t>
  </si>
  <si>
    <t>1783609070.272023</t>
  </si>
  <si>
    <t>1783609074.4896786</t>
  </si>
  <si>
    <t>1783609130.5294101</t>
  </si>
  <si>
    <t>1783609134.5983536</t>
  </si>
  <si>
    <t>1783609160.654915</t>
  </si>
  <si>
    <t>1783609164.9157374</t>
  </si>
  <si>
    <t>1783609190.782335</t>
  </si>
  <si>
    <t>1783609192.5468304</t>
  </si>
  <si>
    <t>1783609220.9005299</t>
  </si>
  <si>
    <t>1783609222.8061585</t>
  </si>
  <si>
    <t>1783609251.024917</t>
  </si>
  <si>
    <t>1783609252.796444</t>
  </si>
  <si>
    <t>1783609281.149798</t>
  </si>
  <si>
    <t>1783609282.949196</t>
  </si>
  <si>
    <t>latency</t>
  </si>
  <si>
    <t>hopsUsed</t>
  </si>
  <si>
    <t>avg. latency</t>
  </si>
  <si>
    <t>delivery rate (%)</t>
  </si>
  <si>
    <t>!dadfb8d4</t>
  </si>
  <si>
    <t>1784212168.410265</t>
  </si>
  <si>
    <t>1784212170.2598076</t>
  </si>
  <si>
    <t>1784212188.540854</t>
  </si>
  <si>
    <t>1784212190.630114</t>
  </si>
  <si>
    <t>1784212208.6759942</t>
  </si>
  <si>
    <t>1784212210.3987322</t>
  </si>
  <si>
    <t>1784212228.7989619</t>
  </si>
  <si>
    <t>1784212231.376371</t>
  </si>
  <si>
    <t>1784212248.920191</t>
  </si>
  <si>
    <t>1784212250.8501413</t>
  </si>
  <si>
    <t>1784212269.049736</t>
  </si>
  <si>
    <t>1784212271.0651937</t>
  </si>
  <si>
    <t>1784212289.1705651</t>
  </si>
  <si>
    <t>1784212292.6885967</t>
  </si>
  <si>
    <t>1784212309.3046532</t>
  </si>
  <si>
    <t>1784212311.1957016</t>
  </si>
  <si>
    <t>1784212329.424661</t>
  </si>
  <si>
    <t>1784212331.3750553</t>
  </si>
  <si>
    <t>1784212349.5472698</t>
  </si>
  <si>
    <t>1784212351.4381232</t>
  </si>
  <si>
    <t>1784212369.663309</t>
  </si>
  <si>
    <t>1784212371.5300279</t>
  </si>
  <si>
    <t>1784212389.799488</t>
  </si>
  <si>
    <t>1784212391.9080417</t>
  </si>
  <si>
    <t>1784212409.916245</t>
  </si>
  <si>
    <t>1784212415.478573</t>
  </si>
  <si>
    <t>1784212450.1500108</t>
  </si>
  <si>
    <t>1784212454.3795078</t>
  </si>
  <si>
    <t>1784212530.6344151</t>
  </si>
  <si>
    <t>1784212539.1525748</t>
  </si>
  <si>
    <t>1784212550.7587829</t>
  </si>
  <si>
    <t>1784212561.0575454</t>
  </si>
  <si>
    <t>1784212570.884543</t>
  </si>
  <si>
    <t>1784212577.1774752</t>
  </si>
  <si>
    <t>1784212611.126014</t>
  </si>
  <si>
    <t>1784212615.4076676</t>
  </si>
  <si>
    <t>1784212631.269245</t>
  </si>
  <si>
    <t>1784212638.9650795</t>
  </si>
  <si>
    <t>1784212651.3964338</t>
  </si>
  <si>
    <t>1784212671.519526</t>
  </si>
  <si>
    <t>1784212673.6503875</t>
  </si>
  <si>
    <t>1784212711.7926881</t>
  </si>
  <si>
    <t>1784212721.268213</t>
  </si>
  <si>
    <t>1784212731.9222558</t>
  </si>
  <si>
    <t>1784212736.175619</t>
  </si>
  <si>
    <t>1784212772.1857831</t>
  </si>
  <si>
    <t>1784212778.960868</t>
  </si>
  <si>
    <t>1784212792.317417</t>
  </si>
  <si>
    <t>1784212796.6252182</t>
  </si>
  <si>
    <t>1784212812.444996</t>
  </si>
  <si>
    <t>1784212820.4770436</t>
  </si>
  <si>
    <t>1784212852.711106</t>
  </si>
  <si>
    <t>1784212858.801222</t>
  </si>
  <si>
    <t>1784212872.828379</t>
  </si>
  <si>
    <t>1784212884.3639987</t>
  </si>
  <si>
    <t>1784212913.075424</t>
  </si>
  <si>
    <t>1784212921.857976</t>
  </si>
  <si>
    <t>1784212933.195333</t>
  </si>
  <si>
    <t>1784212943.918026</t>
  </si>
  <si>
    <t>1784212953.310785</t>
  </si>
  <si>
    <t>1784212962.5860183</t>
  </si>
  <si>
    <t>1784212993.560777</t>
  </si>
  <si>
    <t>1784213005.0189629</t>
  </si>
  <si>
    <t>1784213053.9505448</t>
  </si>
  <si>
    <t>1784213062.3503988</t>
  </si>
  <si>
    <t>1784213074.076432</t>
  </si>
  <si>
    <t>1784213084.6933377</t>
  </si>
  <si>
    <t>1784213174.705937</t>
  </si>
  <si>
    <t>1784213185.7578883</t>
  </si>
  <si>
    <t>1784213214.964043</t>
  </si>
  <si>
    <t>1784213223.1124785</t>
  </si>
  <si>
    <t>1784213235.075912</t>
  </si>
  <si>
    <t>1784213247.0626926</t>
  </si>
  <si>
    <t>1784213255.200035</t>
  </si>
  <si>
    <t>1784213265.1341352</t>
  </si>
  <si>
    <t>1784213275.333336</t>
  </si>
  <si>
    <t>1784213292.0220873</t>
  </si>
  <si>
    <t>1784213295.4556339</t>
  </si>
  <si>
    <t>1784213305.6912792</t>
  </si>
  <si>
    <t>1784213315.5830889</t>
  </si>
  <si>
    <t>1784213323.8981287</t>
  </si>
  <si>
    <t>1784213335.7142022</t>
  </si>
  <si>
    <t>1784213341.950117</t>
  </si>
  <si>
    <t>1784213355.839594</t>
  </si>
  <si>
    <t>1784213367.0156832</t>
  </si>
  <si>
    <t>1784213382.9408088</t>
  </si>
  <si>
    <t>1784213396.096748</t>
  </si>
  <si>
    <t>1784213402.9714687</t>
  </si>
  <si>
    <t>1784213416.217118</t>
  </si>
  <si>
    <t>1784213425.8801286</t>
  </si>
  <si>
    <t>1784213436.3352802</t>
  </si>
  <si>
    <t>1784213444.430764</t>
  </si>
  <si>
    <t>1784213476.586934</t>
  </si>
  <si>
    <t>1784213489.0034916</t>
  </si>
  <si>
    <t>1784213516.823911</t>
  </si>
  <si>
    <t>1784213529.6268787</t>
  </si>
  <si>
    <t>1784213557.069551</t>
  </si>
  <si>
    <t>1784213564.4606628</t>
  </si>
  <si>
    <t>1784213577.1984158</t>
  </si>
  <si>
    <t>1784213585.444266</t>
  </si>
  <si>
    <t>1784213617.480107</t>
  </si>
  <si>
    <t>1784213624.5860066</t>
  </si>
  <si>
    <t>1784213637.5995688</t>
  </si>
  <si>
    <t>1784213643.0310507</t>
  </si>
  <si>
    <t>1784213657.7219431</t>
  </si>
  <si>
    <t>1784213670.2931454</t>
  </si>
  <si>
    <t>1784213697.969322</t>
  </si>
  <si>
    <t>1784213700.2017004</t>
  </si>
  <si>
    <t>1784213718.097012</t>
  </si>
  <si>
    <t>1784213720.1196685</t>
  </si>
  <si>
    <t>1784213738.2253609</t>
  </si>
  <si>
    <t>1784213740.429756</t>
  </si>
  <si>
    <t>1784213760.4247825</t>
  </si>
  <si>
    <t>1784213778.472679</t>
  </si>
  <si>
    <t>1784213780.5684295</t>
  </si>
  <si>
    <t>1784213800.707564</t>
  </si>
  <si>
    <t>1784213818.726151</t>
  </si>
  <si>
    <t>1784213820.8446987</t>
  </si>
  <si>
    <t>1784213838.872669</t>
  </si>
  <si>
    <t>1784213840.849151</t>
  </si>
  <si>
    <t>avg latency</t>
  </si>
  <si>
    <t>avg latency/number of edges</t>
  </si>
  <si>
    <t>expected latency for 1 connection</t>
  </si>
  <si>
    <t>node</t>
  </si>
  <si>
    <t>!ea2468b0</t>
  </si>
  <si>
    <t>!dadfb008</t>
  </si>
  <si>
    <t>!dadfb0cc</t>
  </si>
  <si>
    <t>!dadfb6c8</t>
  </si>
  <si>
    <t>!6c73daa0</t>
  </si>
  <si>
    <t>lon</t>
  </si>
  <si>
    <t>distance to goldberg desktop (m)</t>
  </si>
  <si>
    <t>d to goldberg window</t>
  </si>
  <si>
    <t>d to rowe</t>
  </si>
  <si>
    <t>d to mccain</t>
  </si>
  <si>
    <t>d to lsc</t>
  </si>
  <si>
    <t>d to dunn</t>
  </si>
  <si>
    <t>closest 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</si>
</sst>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333333"/>
      <name val="Helvetica Neue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18" fillId="0" borderId="0" xfId="0" applyFont="1"/>
    <xf numFmtId="0" fontId="0" fillId="33" borderId="0" xfId="0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avg. latency by hops used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extra!$E$1</c:f>
              <c:strCache>
                <c:ptCount val="1"/>
                <c:pt idx="0">
                  <c:v>avg. latency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extra!$D$2:$D$5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extra!$E$2:$E$5</c:f>
              <c:numCache>
                <c:formatCode>General</c:formatCode>
                <c:ptCount val="4"/>
                <c:pt idx="0">
                  <c:v>1.9413837194442749</c:v>
                </c:pt>
                <c:pt idx="1">
                  <c:v>4.1686044534047442</c:v>
                </c:pt>
                <c:pt idx="2">
                  <c:v>7.8653579711914059</c:v>
                </c:pt>
                <c:pt idx="3">
                  <c:v>8.5884600281715393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7-1447-A92E-C1D893B8A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7874224"/>
        <c:axId val="1547929712"/>
      </c:barChart>
      <c:catAx>
        <c:axId val="154787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929712"/>
        <c:crosses val="autoZero"/>
        <c:auto val="1"/>
        <c:lblAlgn val="ctr"/>
        <c:lblOffset val="100"/>
        <c:noMultiLvlLbl val="0"/>
      </c:catAx>
      <c:valAx>
        <c:axId val="154792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87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Latency per Number of Hops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extra!$J$1</c:f>
              <c:strCache>
                <c:ptCount val="1"/>
                <c:pt idx="0">
                  <c:v>avg latency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extra!$K$2:$K$7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extra!$J$2:$J$7</c:f>
              <c:numCache>
                <c:formatCode>General</c:formatCode>
                <c:ptCount val="6"/>
                <c:pt idx="0">
                  <c:v>2.1130033107030961</c:v>
                </c:pt>
                <c:pt idx="1">
                  <c:v>6.506148164922541</c:v>
                </c:pt>
                <c:pt idx="2">
                  <c:v>8.0732391980978164</c:v>
                </c:pt>
                <c:pt idx="3">
                  <c:v>9.9824359734853108</c:v>
                </c:pt>
                <c:pt idx="4">
                  <c:v>11.986779928207397</c:v>
                </c:pt>
                <c:pt idx="5">
                  <c:v>16.688750028610229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7-324A-BB73-546D6944B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0375952"/>
        <c:axId val="1630369632"/>
      </c:barChart>
      <c:catAx>
        <c:axId val="1630375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Hops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369632"/>
        <c:crosses val="autoZero"/>
        <c:auto val="1"/>
        <c:lblAlgn val="ctr"/>
        <c:lblOffset val="100"/>
        <c:noMultiLvlLbl val="0"/>
      </c:catAx>
      <c:valAx>
        <c:axId val="163036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37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Latency per Number of Edges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extra!$L$1</c:f>
              <c:strCache>
                <c:ptCount val="1"/>
                <c:pt idx="0">
                  <c:v>avg latency/number of edges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extra!$U$2:$U$7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extra!$L$2:$L$7</c:f>
              <c:numCache>
                <c:formatCode>General</c:formatCode>
                <c:ptCount val="6"/>
                <c:pt idx="0">
                  <c:v>2.1130033107030961</c:v>
                </c:pt>
                <c:pt idx="1">
                  <c:v>3.2530740824612705</c:v>
                </c:pt>
                <c:pt idx="2">
                  <c:v>2.6910797326992721</c:v>
                </c:pt>
                <c:pt idx="3">
                  <c:v>2.4956089933713277</c:v>
                </c:pt>
                <c:pt idx="4">
                  <c:v>2.3973559856414797</c:v>
                </c:pt>
                <c:pt idx="5">
                  <c:v>2.7814583381017051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4-604C-8161-EA7BAE5AE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6009920"/>
        <c:axId val="1696016768"/>
      </c:barChart>
      <c:catAx>
        <c:axId val="1696009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Edges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016768"/>
        <c:crosses val="autoZero"/>
        <c:auto val="1"/>
        <c:lblAlgn val="ctr"/>
        <c:lblOffset val="100"/>
        <c:noMultiLvlLbl val="0"/>
      </c:catAx>
      <c:valAx>
        <c:axId val="1696016768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00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  <cx:data id="1">
      <cx:numDim type="val">
        <cx:f>_xlchart.v1.16</cx:f>
      </cx:numDim>
    </cx:data>
    <cx:data id="2">
      <cx:numDim type="val">
        <cx:f>_xlchart.v1.17</cx:f>
      </cx:numDim>
    </cx:data>
    <cx:data id="3">
      <cx:numDim type="val">
        <cx:f>_xlchart.v1.18</cx:f>
      </cx:numDim>
    </cx:data>
  </cx:chartData>
  <cx:chart>
    <cx:title pos="t" align="ctr" overlay="0">
      <cx:tx>
        <cx:txData>
          <cx:v>Latency per Hop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Latency per Hop</a:t>
          </a:r>
        </a:p>
      </cx:txPr>
    </cx:title>
    <cx:plotArea>
      <cx:plotAreaRegion>
        <cx:series layoutId="boxWhisker" uniqueId="{00000000-ED4B-4548-9D42-45C6495CDFD9}">
          <cx:tx>
            <cx:txData>
              <cx:f/>
              <cx:v>0 Hop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ED4B-4548-9D42-45C6495CDFD9}">
          <cx:tx>
            <cx:txData>
              <cx:f/>
              <cx:v>1 Hop</cx:v>
            </cx:txData>
          </cx:tx>
          <cx:dataId val="1"/>
          <cx:layoutPr>
            <cx:statistics quartileMethod="exclusive"/>
          </cx:layoutPr>
        </cx:series>
        <cx:series layoutId="boxWhisker" uniqueId="{00000002-ED4B-4548-9D42-45C6495CDFD9}">
          <cx:tx>
            <cx:txData>
              <cx:f/>
              <cx:v>2 Hop</cx:v>
            </cx:txData>
          </cx:tx>
          <cx:dataId val="2"/>
          <cx:layoutPr>
            <cx:statistics quartileMethod="exclusive"/>
          </cx:layoutPr>
        </cx:series>
        <cx:series layoutId="boxWhisker" uniqueId="{00000003-ED4B-4548-9D42-45C6495CDFD9}">
          <cx:tx>
            <cx:txData>
              <cx:f/>
              <cx:v>3 Hop</cx:v>
            </cx:txData>
          </cx:tx>
          <cx:dataId val="3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_xlchart.v1.69</cx:f>
      </cx:numDim>
    </cx:data>
    <cx:data id="1">
      <cx:numDim type="val">
        <cx:f>_xlchart.v1.68</cx:f>
      </cx:numDim>
    </cx:data>
    <cx:data id="2">
      <cx:numDim type="val">
        <cx:f>_xlchart.v1.70</cx:f>
      </cx:numDim>
    </cx:data>
    <cx:data id="3">
      <cx:numDim type="val">
        <cx:f>_xlchart.v1.71</cx:f>
      </cx:numDim>
    </cx:data>
    <cx:data id="4">
      <cx:numDim type="val">
        <cx:f>_xlchart.v1.72</cx:f>
      </cx:numDim>
    </cx:data>
    <cx:data id="5">
      <cx:numDim type="val">
        <cx:f>_xlchart.v1.73</cx:f>
      </cx:numDim>
    </cx:data>
  </cx:chartData>
  <cx:chart>
    <cx:title pos="t" align="ctr" overlay="0">
      <cx:tx>
        <cx:txData>
          <cx:v>Latency per Hop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Latency per Hop</a:t>
          </a:r>
        </a:p>
      </cx:txPr>
    </cx:title>
    <cx:plotArea>
      <cx:plotAreaRegion>
        <cx:series layoutId="boxWhisker" uniqueId="{00000000-ED4B-4548-9D42-45C6495CDFD9}">
          <cx:tx>
            <cx:txData>
              <cx:f/>
              <cx:v>0 Hop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ED4B-4548-9D42-45C6495CDFD9}">
          <cx:tx>
            <cx:txData>
              <cx:f/>
              <cx:v>1 Hop</cx:v>
            </cx:txData>
          </cx:tx>
          <cx:dataId val="1"/>
          <cx:layoutPr>
            <cx:visibility nonoutliers="0"/>
            <cx:statistics quartileMethod="exclusive"/>
          </cx:layoutPr>
        </cx:series>
        <cx:series layoutId="boxWhisker" uniqueId="{00000002-ED4B-4548-9D42-45C6495CDFD9}">
          <cx:tx>
            <cx:txData>
              <cx:f/>
              <cx:v>2 Hop</cx:v>
            </cx:txData>
          </cx:tx>
          <cx:dataId val="2"/>
          <cx:layoutPr>
            <cx:visibility nonoutliers="0"/>
            <cx:statistics quartileMethod="exclusive"/>
          </cx:layoutPr>
        </cx:series>
        <cx:series layoutId="boxWhisker" uniqueId="{00000003-ED4B-4548-9D42-45C6495CDFD9}">
          <cx:tx>
            <cx:txData>
              <cx:f/>
              <cx:v>3 Hop</cx:v>
            </cx:txData>
          </cx:tx>
          <cx:dataId val="3"/>
          <cx:layoutPr>
            <cx:visibility nonoutliers="0"/>
            <cx:statistics quartileMethod="exclusive"/>
          </cx:layoutPr>
        </cx:series>
        <cx:series layoutId="boxWhisker" uniqueId="{00000000-2643-A24C-952F-030BE949A363}">
          <cx:tx>
            <cx:txData>
              <cx:v>4 Hop</cx:v>
            </cx:txData>
          </cx:tx>
          <cx:dataId val="4"/>
          <cx:layoutPr>
            <cx:statistics quartileMethod="exclusive"/>
          </cx:layoutPr>
        </cx:series>
        <cx:series layoutId="boxWhisker" uniqueId="{00000001-2643-A24C-952F-030BE949A363}">
          <cx:tx>
            <cx:txData>
              <cx:v>5 Hop</cx:v>
            </cx:txData>
          </cx:tx>
          <cx:dataId val="5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Seconds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Seconds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28</xdr:row>
      <xdr:rowOff>19050</xdr:rowOff>
    </xdr:from>
    <xdr:to>
      <xdr:col>5</xdr:col>
      <xdr:colOff>450850</xdr:colOff>
      <xdr:row>41</xdr:row>
      <xdr:rowOff>120650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1CF8836-CE2D-5D24-2551-D44A4BFDE9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" y="5708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41</xdr:row>
      <xdr:rowOff>146050</xdr:rowOff>
    </xdr:from>
    <xdr:to>
      <xdr:col>5</xdr:col>
      <xdr:colOff>444500</xdr:colOff>
      <xdr:row>55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E8E39B-16D1-F12C-0959-2BFDC4C86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289278</xdr:colOff>
      <xdr:row>1</xdr:row>
      <xdr:rowOff>155221</xdr:rowOff>
    </xdr:from>
    <xdr:to>
      <xdr:col>21</xdr:col>
      <xdr:colOff>733778</xdr:colOff>
      <xdr:row>19</xdr:row>
      <xdr:rowOff>84665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A0241D2-4499-6C40-84A6-51546BE618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24389" y="352777"/>
              <a:ext cx="4607278" cy="34854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256553</xdr:colOff>
      <xdr:row>19</xdr:row>
      <xdr:rowOff>87075</xdr:rowOff>
    </xdr:from>
    <xdr:to>
      <xdr:col>21</xdr:col>
      <xdr:colOff>701054</xdr:colOff>
      <xdr:row>32</xdr:row>
      <xdr:rowOff>183031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D25360-A739-D86E-1731-5E74C7D83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162229</xdr:colOff>
      <xdr:row>33</xdr:row>
      <xdr:rowOff>35789</xdr:rowOff>
    </xdr:from>
    <xdr:to>
      <xdr:col>21</xdr:col>
      <xdr:colOff>621181</xdr:colOff>
      <xdr:row>46</xdr:row>
      <xdr:rowOff>69946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150522-940F-4BDF-4FD9-29D30CFA9D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C893-114C-E046-B83C-132E301BB46C}">
  <dimension ref="A1:O27"/>
  <sheetViews>
    <sheetView zoomScale="115" zoomScaleNormal="100" workbookViewId="0">
      <selection activeCell="F1" sqref="F1:F1048576"/>
    </sheetView>
  </sheetViews>
  <sheetFormatPr baseColWidth="10" defaultRowHeight="16" x14ac:dyDescent="0.2"/>
  <cols>
    <col min="1" max="1" width="11" bestFit="1" customWidth="1"/>
    <col min="2" max="2" width="11.1640625" bestFit="1" customWidth="1"/>
    <col min="6" max="6" width="20" customWidth="1"/>
    <col min="7" max="14" width="11" bestFit="1" customWidth="1"/>
    <col min="15" max="15" width="13.5" customWidth="1"/>
    <col min="16" max="16" width="20" customWidth="1"/>
    <col min="17" max="17" width="17.1640625" customWidth="1"/>
  </cols>
  <sheetData>
    <row r="1" spans="1:15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66</v>
      </c>
      <c r="O1" s="2" t="s">
        <v>68</v>
      </c>
    </row>
    <row r="2" spans="1:15" x14ac:dyDescent="0.2">
      <c r="A2">
        <v>1</v>
      </c>
      <c r="B2">
        <v>2633666616</v>
      </c>
      <c r="C2" t="s">
        <v>12</v>
      </c>
      <c r="D2" s="1" t="s">
        <v>13</v>
      </c>
      <c r="E2" s="1" t="s">
        <v>14</v>
      </c>
      <c r="F2">
        <f t="shared" ref="F2:F27" si="0">E2-D2</f>
        <v>2.3019499778747559</v>
      </c>
      <c r="G2">
        <v>-39</v>
      </c>
      <c r="H2">
        <v>7.75</v>
      </c>
      <c r="I2">
        <v>44.637543000000001</v>
      </c>
      <c r="J2">
        <v>-63.587178000000002</v>
      </c>
      <c r="K2">
        <v>48</v>
      </c>
      <c r="L2">
        <v>3</v>
      </c>
      <c r="M2">
        <v>3</v>
      </c>
      <c r="N2">
        <f t="shared" ref="N2:N27" si="1">L2-M2</f>
        <v>0</v>
      </c>
      <c r="O2">
        <f>COUNT(A2:A27)/A27*100</f>
        <v>50</v>
      </c>
    </row>
    <row r="3" spans="1:15" x14ac:dyDescent="0.2">
      <c r="A3">
        <v>2</v>
      </c>
      <c r="B3">
        <v>3477515321</v>
      </c>
      <c r="C3" t="s">
        <v>12</v>
      </c>
      <c r="D3" s="1" t="s">
        <v>15</v>
      </c>
      <c r="E3" s="1" t="s">
        <v>16</v>
      </c>
      <c r="F3">
        <f t="shared" si="0"/>
        <v>2.1058402061462402</v>
      </c>
      <c r="G3">
        <v>-51</v>
      </c>
      <c r="H3">
        <v>7.5</v>
      </c>
      <c r="I3">
        <v>44.637543000000001</v>
      </c>
      <c r="J3">
        <v>-63.587178000000002</v>
      </c>
      <c r="K3">
        <v>48</v>
      </c>
      <c r="L3">
        <v>3</v>
      </c>
      <c r="M3">
        <v>3</v>
      </c>
      <c r="N3">
        <f t="shared" si="1"/>
        <v>0</v>
      </c>
    </row>
    <row r="4" spans="1:15" x14ac:dyDescent="0.2">
      <c r="A4">
        <v>3</v>
      </c>
      <c r="B4">
        <v>2254213178</v>
      </c>
      <c r="C4" t="s">
        <v>12</v>
      </c>
      <c r="D4" s="1" t="s">
        <v>17</v>
      </c>
      <c r="E4" s="1" t="s">
        <v>18</v>
      </c>
      <c r="F4">
        <f t="shared" si="0"/>
        <v>1.967479944229126</v>
      </c>
      <c r="G4">
        <v>-43</v>
      </c>
      <c r="H4">
        <v>7.5</v>
      </c>
      <c r="I4">
        <v>44.637543000000001</v>
      </c>
      <c r="J4">
        <v>-63.587178000000002</v>
      </c>
      <c r="K4">
        <v>48</v>
      </c>
      <c r="L4">
        <v>3</v>
      </c>
      <c r="M4">
        <v>3</v>
      </c>
      <c r="N4">
        <f t="shared" si="1"/>
        <v>0</v>
      </c>
    </row>
    <row r="5" spans="1:15" x14ac:dyDescent="0.2">
      <c r="A5">
        <v>5</v>
      </c>
      <c r="B5">
        <v>855942204</v>
      </c>
      <c r="C5" t="s">
        <v>12</v>
      </c>
      <c r="D5" s="1" t="s">
        <v>19</v>
      </c>
      <c r="E5" s="1" t="s">
        <v>20</v>
      </c>
      <c r="F5">
        <f t="shared" si="0"/>
        <v>1.9147400856018066</v>
      </c>
      <c r="G5">
        <v>-110</v>
      </c>
      <c r="H5">
        <v>-0.5</v>
      </c>
      <c r="I5">
        <v>44.637560000000001</v>
      </c>
      <c r="J5">
        <v>-63.587567999999997</v>
      </c>
      <c r="K5">
        <v>50</v>
      </c>
      <c r="L5">
        <v>3</v>
      </c>
      <c r="M5">
        <v>3</v>
      </c>
      <c r="N5">
        <f t="shared" si="1"/>
        <v>0</v>
      </c>
    </row>
    <row r="6" spans="1:15" x14ac:dyDescent="0.2">
      <c r="A6">
        <v>6</v>
      </c>
      <c r="B6">
        <v>308669501</v>
      </c>
      <c r="C6" t="s">
        <v>12</v>
      </c>
      <c r="D6" s="1" t="s">
        <v>21</v>
      </c>
      <c r="E6" s="1" t="s">
        <v>22</v>
      </c>
      <c r="F6">
        <f t="shared" si="0"/>
        <v>4.7517600059509277</v>
      </c>
      <c r="G6">
        <v>-78</v>
      </c>
      <c r="H6">
        <v>9.25</v>
      </c>
      <c r="I6">
        <v>44.637129999999999</v>
      </c>
      <c r="J6">
        <v>-63.587626999999998</v>
      </c>
      <c r="K6">
        <v>48</v>
      </c>
      <c r="L6">
        <v>3</v>
      </c>
      <c r="M6">
        <v>2</v>
      </c>
      <c r="N6">
        <f t="shared" si="1"/>
        <v>1</v>
      </c>
    </row>
    <row r="7" spans="1:15" x14ac:dyDescent="0.2">
      <c r="A7">
        <v>10</v>
      </c>
      <c r="B7">
        <v>2674245697</v>
      </c>
      <c r="C7" t="s">
        <v>12</v>
      </c>
      <c r="D7" s="1" t="s">
        <v>23</v>
      </c>
      <c r="E7" s="1" t="s">
        <v>24</v>
      </c>
      <c r="F7">
        <f t="shared" si="0"/>
        <v>4.1999001502990723</v>
      </c>
      <c r="G7">
        <v>-78</v>
      </c>
      <c r="H7">
        <v>9</v>
      </c>
      <c r="I7">
        <v>44.635899000000002</v>
      </c>
      <c r="J7">
        <v>-63.587878000000003</v>
      </c>
      <c r="K7">
        <v>46</v>
      </c>
      <c r="L7">
        <v>3</v>
      </c>
      <c r="M7">
        <v>2</v>
      </c>
      <c r="N7">
        <f t="shared" si="1"/>
        <v>1</v>
      </c>
    </row>
    <row r="8" spans="1:15" x14ac:dyDescent="0.2">
      <c r="A8">
        <v>13</v>
      </c>
      <c r="B8">
        <v>1213493316</v>
      </c>
      <c r="C8" t="s">
        <v>12</v>
      </c>
      <c r="D8" s="1" t="s">
        <v>25</v>
      </c>
      <c r="E8" s="1" t="s">
        <v>26</v>
      </c>
      <c r="F8">
        <f t="shared" si="0"/>
        <v>7.3002099990844727</v>
      </c>
      <c r="G8">
        <v>-80</v>
      </c>
      <c r="H8">
        <v>8.75</v>
      </c>
      <c r="I8">
        <v>44.635615000000001</v>
      </c>
      <c r="J8">
        <v>-63.589516000000003</v>
      </c>
      <c r="K8">
        <v>49</v>
      </c>
      <c r="L8">
        <v>3</v>
      </c>
      <c r="M8">
        <v>1</v>
      </c>
      <c r="N8">
        <f t="shared" si="1"/>
        <v>2</v>
      </c>
    </row>
    <row r="9" spans="1:15" x14ac:dyDescent="0.2">
      <c r="A9">
        <v>18</v>
      </c>
      <c r="B9">
        <v>775394377</v>
      </c>
      <c r="C9" t="s">
        <v>12</v>
      </c>
      <c r="D9" s="1" t="s">
        <v>27</v>
      </c>
      <c r="E9" s="1" t="s">
        <v>28</v>
      </c>
      <c r="F9">
        <f t="shared" si="0"/>
        <v>8.2244200706481934</v>
      </c>
      <c r="G9">
        <v>-80</v>
      </c>
      <c r="H9">
        <v>7.75</v>
      </c>
      <c r="I9">
        <v>44.634939000000003</v>
      </c>
      <c r="J9">
        <v>-63.592325000000002</v>
      </c>
      <c r="K9">
        <v>44</v>
      </c>
      <c r="L9">
        <v>3</v>
      </c>
      <c r="N9">
        <f t="shared" si="1"/>
        <v>3</v>
      </c>
    </row>
    <row r="10" spans="1:15" x14ac:dyDescent="0.2">
      <c r="A10">
        <v>27</v>
      </c>
      <c r="B10">
        <v>2458402898</v>
      </c>
      <c r="C10" t="s">
        <v>12</v>
      </c>
      <c r="D10" s="1" t="s">
        <v>29</v>
      </c>
      <c r="E10" s="1" t="s">
        <v>30</v>
      </c>
      <c r="F10">
        <f t="shared" si="0"/>
        <v>7.9276301860809326</v>
      </c>
      <c r="G10">
        <v>-78</v>
      </c>
      <c r="H10">
        <v>8.75</v>
      </c>
      <c r="I10">
        <v>44.636687000000002</v>
      </c>
      <c r="J10">
        <v>-63.594873999999997</v>
      </c>
      <c r="K10">
        <v>46</v>
      </c>
      <c r="L10">
        <v>3</v>
      </c>
      <c r="N10">
        <f t="shared" si="1"/>
        <v>3</v>
      </c>
    </row>
    <row r="11" spans="1:15" x14ac:dyDescent="0.2">
      <c r="A11">
        <v>31</v>
      </c>
      <c r="B11">
        <v>2914107478</v>
      </c>
      <c r="C11" t="s">
        <v>12</v>
      </c>
      <c r="D11" s="1" t="s">
        <v>31</v>
      </c>
      <c r="E11" s="1" t="s">
        <v>32</v>
      </c>
      <c r="F11">
        <f t="shared" si="0"/>
        <v>8.773360013961792</v>
      </c>
      <c r="G11">
        <v>-84</v>
      </c>
      <c r="H11">
        <v>8.75</v>
      </c>
      <c r="I11">
        <v>44.636906000000003</v>
      </c>
      <c r="J11">
        <v>-63.593181999999999</v>
      </c>
      <c r="K11">
        <v>53</v>
      </c>
      <c r="L11">
        <v>3</v>
      </c>
      <c r="N11">
        <f t="shared" si="1"/>
        <v>3</v>
      </c>
    </row>
    <row r="12" spans="1:15" x14ac:dyDescent="0.2">
      <c r="A12">
        <v>32</v>
      </c>
      <c r="B12">
        <v>3886922839</v>
      </c>
      <c r="C12" t="s">
        <v>12</v>
      </c>
      <c r="D12" s="1" t="s">
        <v>33</v>
      </c>
      <c r="E12" s="1" t="s">
        <v>34</v>
      </c>
      <c r="F12">
        <f t="shared" si="0"/>
        <v>7.0053699016571045</v>
      </c>
      <c r="G12">
        <v>-81</v>
      </c>
      <c r="H12">
        <v>8.5</v>
      </c>
      <c r="I12">
        <v>44.636679000000001</v>
      </c>
      <c r="J12">
        <v>-63.592815999999999</v>
      </c>
      <c r="K12">
        <v>52</v>
      </c>
      <c r="L12">
        <v>3</v>
      </c>
      <c r="M12">
        <v>1</v>
      </c>
      <c r="N12">
        <f t="shared" si="1"/>
        <v>2</v>
      </c>
    </row>
    <row r="13" spans="1:15" x14ac:dyDescent="0.2">
      <c r="A13">
        <v>33</v>
      </c>
      <c r="B13">
        <v>1128078424</v>
      </c>
      <c r="C13" t="s">
        <v>12</v>
      </c>
      <c r="D13" s="1" t="s">
        <v>35</v>
      </c>
      <c r="E13" s="1" t="s">
        <v>36</v>
      </c>
      <c r="F13">
        <f t="shared" si="0"/>
        <v>4.1137499809265137</v>
      </c>
      <c r="G13">
        <v>-80</v>
      </c>
      <c r="H13">
        <v>9</v>
      </c>
      <c r="I13">
        <v>44.636277999999997</v>
      </c>
      <c r="J13">
        <v>-63.592573999999999</v>
      </c>
      <c r="K13">
        <v>52</v>
      </c>
      <c r="L13">
        <v>3</v>
      </c>
      <c r="M13">
        <v>2</v>
      </c>
      <c r="N13">
        <f t="shared" si="1"/>
        <v>1</v>
      </c>
    </row>
    <row r="14" spans="1:15" x14ac:dyDescent="0.2">
      <c r="A14">
        <v>34</v>
      </c>
      <c r="B14">
        <v>3675344985</v>
      </c>
      <c r="C14" t="s">
        <v>12</v>
      </c>
      <c r="D14" s="1" t="s">
        <v>37</v>
      </c>
      <c r="E14" s="1" t="s">
        <v>38</v>
      </c>
      <c r="F14">
        <f t="shared" si="0"/>
        <v>4.3341701030731201</v>
      </c>
      <c r="G14">
        <v>-79</v>
      </c>
      <c r="H14">
        <v>8.75</v>
      </c>
      <c r="I14">
        <v>44.636583999999999</v>
      </c>
      <c r="J14">
        <v>-63.592253999999997</v>
      </c>
      <c r="K14">
        <v>51</v>
      </c>
      <c r="L14">
        <v>3</v>
      </c>
      <c r="M14">
        <v>2</v>
      </c>
      <c r="N14">
        <f t="shared" si="1"/>
        <v>1</v>
      </c>
    </row>
    <row r="15" spans="1:15" x14ac:dyDescent="0.2">
      <c r="A15">
        <v>36</v>
      </c>
      <c r="B15">
        <v>2969691</v>
      </c>
      <c r="C15" t="s">
        <v>12</v>
      </c>
      <c r="D15" s="1" t="s">
        <v>39</v>
      </c>
      <c r="E15" s="1" t="s">
        <v>40</v>
      </c>
      <c r="F15">
        <f t="shared" si="0"/>
        <v>3.7421598434448242</v>
      </c>
      <c r="G15">
        <v>-79</v>
      </c>
      <c r="H15">
        <v>9.75</v>
      </c>
      <c r="I15">
        <v>44.636744</v>
      </c>
      <c r="J15">
        <v>-63.591110999999998</v>
      </c>
      <c r="K15">
        <v>50</v>
      </c>
      <c r="L15">
        <v>3</v>
      </c>
      <c r="M15">
        <v>2</v>
      </c>
      <c r="N15">
        <f t="shared" si="1"/>
        <v>1</v>
      </c>
    </row>
    <row r="16" spans="1:15" x14ac:dyDescent="0.2">
      <c r="A16">
        <v>38</v>
      </c>
      <c r="B16">
        <v>1666175069</v>
      </c>
      <c r="C16" t="s">
        <v>12</v>
      </c>
      <c r="D16" s="1" t="s">
        <v>41</v>
      </c>
      <c r="E16" s="1" t="s">
        <v>42</v>
      </c>
      <c r="F16">
        <f t="shared" si="0"/>
        <v>10.039010047912598</v>
      </c>
      <c r="G16">
        <v>-79</v>
      </c>
      <c r="H16">
        <v>9.25</v>
      </c>
      <c r="I16">
        <v>44.637351000000002</v>
      </c>
      <c r="J16">
        <v>-63.590373999999997</v>
      </c>
      <c r="K16">
        <v>54</v>
      </c>
      <c r="L16">
        <v>3</v>
      </c>
      <c r="M16">
        <v>1</v>
      </c>
      <c r="N16">
        <f t="shared" si="1"/>
        <v>2</v>
      </c>
    </row>
    <row r="17" spans="1:14" x14ac:dyDescent="0.2">
      <c r="A17">
        <v>39</v>
      </c>
      <c r="B17">
        <v>1819711582</v>
      </c>
      <c r="C17" t="s">
        <v>12</v>
      </c>
      <c r="D17" s="1" t="s">
        <v>43</v>
      </c>
      <c r="E17" s="1" t="s">
        <v>44</v>
      </c>
      <c r="F17">
        <f t="shared" si="0"/>
        <v>6.6926100254058838</v>
      </c>
      <c r="G17">
        <v>-80</v>
      </c>
      <c r="H17">
        <v>7.75</v>
      </c>
      <c r="I17">
        <v>44.637720000000002</v>
      </c>
      <c r="J17">
        <v>-63.590268000000002</v>
      </c>
      <c r="K17">
        <v>55</v>
      </c>
      <c r="L17">
        <v>3</v>
      </c>
      <c r="M17">
        <v>1</v>
      </c>
      <c r="N17">
        <f t="shared" si="1"/>
        <v>2</v>
      </c>
    </row>
    <row r="18" spans="1:14" x14ac:dyDescent="0.2">
      <c r="A18">
        <v>41</v>
      </c>
      <c r="B18">
        <v>2244295776</v>
      </c>
      <c r="C18" t="s">
        <v>12</v>
      </c>
      <c r="D18" s="1" t="s">
        <v>45</v>
      </c>
      <c r="E18" s="1" t="s">
        <v>46</v>
      </c>
      <c r="F18">
        <f t="shared" si="0"/>
        <v>3.8282899856567383</v>
      </c>
      <c r="G18">
        <v>-81</v>
      </c>
      <c r="H18">
        <v>8.75</v>
      </c>
      <c r="I18">
        <v>44.638551999999997</v>
      </c>
      <c r="J18">
        <v>-63.590760000000003</v>
      </c>
      <c r="K18">
        <v>56</v>
      </c>
      <c r="L18">
        <v>3</v>
      </c>
      <c r="M18">
        <v>2</v>
      </c>
      <c r="N18">
        <f t="shared" si="1"/>
        <v>1</v>
      </c>
    </row>
    <row r="19" spans="1:14" x14ac:dyDescent="0.2">
      <c r="A19">
        <v>43</v>
      </c>
      <c r="B19">
        <v>876472418</v>
      </c>
      <c r="C19" t="s">
        <v>12</v>
      </c>
      <c r="D19" s="1" t="s">
        <v>47</v>
      </c>
      <c r="E19" s="1" t="s">
        <v>48</v>
      </c>
      <c r="F19">
        <f t="shared" si="0"/>
        <v>9.4284298419952393</v>
      </c>
      <c r="G19">
        <v>-81</v>
      </c>
      <c r="H19">
        <v>8.75</v>
      </c>
      <c r="I19">
        <v>44.639318000000003</v>
      </c>
      <c r="J19">
        <v>-63.590516999999998</v>
      </c>
      <c r="K19">
        <v>57</v>
      </c>
      <c r="L19">
        <v>3</v>
      </c>
      <c r="N19">
        <f t="shared" si="1"/>
        <v>3</v>
      </c>
    </row>
    <row r="20" spans="1:14" x14ac:dyDescent="0.2">
      <c r="A20">
        <v>44</v>
      </c>
      <c r="B20">
        <v>2327524451</v>
      </c>
      <c r="C20" t="s">
        <v>12</v>
      </c>
      <c r="D20" s="1" t="s">
        <v>49</v>
      </c>
      <c r="E20" s="1" t="s">
        <v>50</v>
      </c>
      <c r="F20">
        <f t="shared" si="0"/>
        <v>8.2895898818969727</v>
      </c>
      <c r="G20">
        <v>-79</v>
      </c>
      <c r="H20">
        <v>9.25</v>
      </c>
      <c r="I20">
        <v>44.639173</v>
      </c>
      <c r="J20">
        <v>-63.589970000000001</v>
      </c>
      <c r="K20">
        <v>58</v>
      </c>
      <c r="L20">
        <v>3</v>
      </c>
      <c r="M20">
        <v>1</v>
      </c>
      <c r="N20">
        <f t="shared" si="1"/>
        <v>2</v>
      </c>
    </row>
    <row r="21" spans="1:14" x14ac:dyDescent="0.2">
      <c r="A21">
        <v>45</v>
      </c>
      <c r="B21">
        <v>847907940</v>
      </c>
      <c r="C21" t="s">
        <v>12</v>
      </c>
      <c r="D21" s="1" t="s">
        <v>51</v>
      </c>
      <c r="E21" s="1" t="s">
        <v>52</v>
      </c>
      <c r="F21">
        <f t="shared" si="0"/>
        <v>4.2176499366760254</v>
      </c>
      <c r="G21">
        <v>-81</v>
      </c>
      <c r="H21">
        <v>9</v>
      </c>
      <c r="I21">
        <v>44.638800000000003</v>
      </c>
      <c r="J21">
        <v>-63.589725000000001</v>
      </c>
      <c r="K21">
        <v>57</v>
      </c>
      <c r="L21">
        <v>3</v>
      </c>
      <c r="M21">
        <v>2</v>
      </c>
      <c r="N21">
        <f t="shared" si="1"/>
        <v>1</v>
      </c>
    </row>
    <row r="22" spans="1:14" x14ac:dyDescent="0.2">
      <c r="A22">
        <v>47</v>
      </c>
      <c r="B22">
        <v>2635497574</v>
      </c>
      <c r="C22" t="s">
        <v>12</v>
      </c>
      <c r="D22" s="1" t="s">
        <v>53</v>
      </c>
      <c r="E22" s="1" t="s">
        <v>54</v>
      </c>
      <c r="F22">
        <f t="shared" si="0"/>
        <v>4.0689401626586914</v>
      </c>
      <c r="G22">
        <v>-81</v>
      </c>
      <c r="H22">
        <v>8</v>
      </c>
      <c r="I22">
        <v>44.638022999999997</v>
      </c>
      <c r="J22">
        <v>-63.589286000000001</v>
      </c>
      <c r="K22">
        <v>55</v>
      </c>
      <c r="L22">
        <v>3</v>
      </c>
      <c r="M22">
        <v>2</v>
      </c>
      <c r="N22">
        <f t="shared" si="1"/>
        <v>1</v>
      </c>
    </row>
    <row r="23" spans="1:14" x14ac:dyDescent="0.2">
      <c r="A23">
        <v>48</v>
      </c>
      <c r="B23">
        <v>2951375975</v>
      </c>
      <c r="C23" t="s">
        <v>12</v>
      </c>
      <c r="D23" s="1" t="s">
        <v>55</v>
      </c>
      <c r="E23" s="1" t="s">
        <v>56</v>
      </c>
      <c r="F23">
        <f t="shared" si="0"/>
        <v>4.2608199119567871</v>
      </c>
      <c r="G23">
        <v>-78</v>
      </c>
      <c r="H23">
        <v>9.75</v>
      </c>
      <c r="I23">
        <v>44.637579000000002</v>
      </c>
      <c r="J23">
        <v>-63.589176999999999</v>
      </c>
      <c r="K23">
        <v>54</v>
      </c>
      <c r="L23">
        <v>3</v>
      </c>
      <c r="M23">
        <v>2</v>
      </c>
      <c r="N23">
        <f t="shared" si="1"/>
        <v>1</v>
      </c>
    </row>
    <row r="24" spans="1:14" x14ac:dyDescent="0.2">
      <c r="A24">
        <v>49</v>
      </c>
      <c r="B24">
        <v>4144805992</v>
      </c>
      <c r="C24" t="s">
        <v>12</v>
      </c>
      <c r="D24" s="1" t="s">
        <v>57</v>
      </c>
      <c r="E24" s="1" t="s">
        <v>58</v>
      </c>
      <c r="F24">
        <f t="shared" si="0"/>
        <v>1.7644999027252197</v>
      </c>
      <c r="G24">
        <v>-112</v>
      </c>
      <c r="H24">
        <v>-1.25</v>
      </c>
      <c r="I24">
        <v>44.637602000000001</v>
      </c>
      <c r="J24">
        <v>-63.588442999999998</v>
      </c>
      <c r="K24">
        <v>52</v>
      </c>
      <c r="L24">
        <v>3</v>
      </c>
      <c r="M24">
        <v>3</v>
      </c>
      <c r="N24">
        <f t="shared" si="1"/>
        <v>0</v>
      </c>
    </row>
    <row r="25" spans="1:14" x14ac:dyDescent="0.2">
      <c r="A25">
        <v>50</v>
      </c>
      <c r="B25">
        <v>2828412009</v>
      </c>
      <c r="C25" t="s">
        <v>12</v>
      </c>
      <c r="D25" s="1" t="s">
        <v>59</v>
      </c>
      <c r="E25" s="1" t="s">
        <v>60</v>
      </c>
      <c r="F25">
        <f t="shared" si="0"/>
        <v>1.9056298732757568</v>
      </c>
      <c r="G25">
        <v>-102</v>
      </c>
      <c r="H25">
        <v>6.5</v>
      </c>
      <c r="I25">
        <v>44.637636000000001</v>
      </c>
      <c r="J25">
        <v>-63.587784999999997</v>
      </c>
      <c r="K25">
        <v>50</v>
      </c>
      <c r="L25">
        <v>3</v>
      </c>
      <c r="M25">
        <v>3</v>
      </c>
      <c r="N25">
        <f t="shared" si="1"/>
        <v>0</v>
      </c>
    </row>
    <row r="26" spans="1:14" x14ac:dyDescent="0.2">
      <c r="A26">
        <v>51</v>
      </c>
      <c r="B26">
        <v>3642589290</v>
      </c>
      <c r="C26" t="s">
        <v>12</v>
      </c>
      <c r="D26" s="1" t="s">
        <v>61</v>
      </c>
      <c r="E26" s="1" t="s">
        <v>62</v>
      </c>
      <c r="F26">
        <f t="shared" si="0"/>
        <v>1.7715299129486084</v>
      </c>
      <c r="G26">
        <v>-89</v>
      </c>
      <c r="H26">
        <v>8</v>
      </c>
      <c r="I26">
        <v>44.637532999999998</v>
      </c>
      <c r="J26">
        <v>-63.587479000000002</v>
      </c>
      <c r="K26">
        <v>48</v>
      </c>
      <c r="L26">
        <v>3</v>
      </c>
      <c r="M26">
        <v>3</v>
      </c>
      <c r="N26">
        <f t="shared" si="1"/>
        <v>0</v>
      </c>
    </row>
    <row r="27" spans="1:14" x14ac:dyDescent="0.2">
      <c r="A27">
        <v>52</v>
      </c>
      <c r="B27">
        <v>3931657323</v>
      </c>
      <c r="C27" t="s">
        <v>12</v>
      </c>
      <c r="D27" s="1" t="s">
        <v>63</v>
      </c>
      <c r="E27" s="1" t="s">
        <v>64</v>
      </c>
      <c r="F27">
        <f t="shared" si="0"/>
        <v>1.7993998527526855</v>
      </c>
      <c r="G27">
        <v>-68</v>
      </c>
      <c r="H27">
        <v>8</v>
      </c>
      <c r="I27">
        <v>44.637411</v>
      </c>
      <c r="J27">
        <v>-63.587319000000001</v>
      </c>
      <c r="K27">
        <v>68</v>
      </c>
      <c r="L27">
        <v>3</v>
      </c>
      <c r="M27">
        <v>3</v>
      </c>
      <c r="N27">
        <f t="shared" si="1"/>
        <v>0</v>
      </c>
    </row>
  </sheetData>
  <sortState xmlns:xlrd2="http://schemas.microsoft.com/office/spreadsheetml/2017/richdata2" ref="P2:Q27">
    <sortCondition ref="Q2:Q27"/>
  </sortState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D6C84-90E4-EC4A-821B-D1BE88657BA9}">
  <dimension ref="A1:W63"/>
  <sheetViews>
    <sheetView tabSelected="1" topLeftCell="P1" zoomScale="88" workbookViewId="0">
      <selection activeCell="Y18" sqref="Y18"/>
    </sheetView>
  </sheetViews>
  <sheetFormatPr baseColWidth="10" defaultRowHeight="16" x14ac:dyDescent="0.2"/>
  <cols>
    <col min="15" max="15" width="15.33203125" customWidth="1"/>
    <col min="17" max="17" width="29.5" customWidth="1"/>
    <col min="18" max="18" width="19.6640625" customWidth="1"/>
    <col min="20" max="20" width="12.1640625" customWidth="1"/>
  </cols>
  <sheetData>
    <row r="1" spans="1:23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66</v>
      </c>
      <c r="O1" s="2" t="s">
        <v>68</v>
      </c>
      <c r="P1" s="2" t="s">
        <v>190</v>
      </c>
      <c r="Q1" s="2" t="s">
        <v>200</v>
      </c>
      <c r="R1" s="2" t="s">
        <v>201</v>
      </c>
      <c r="S1" s="2" t="s">
        <v>202</v>
      </c>
      <c r="T1" s="2" t="s">
        <v>203</v>
      </c>
      <c r="U1" s="2" t="s">
        <v>204</v>
      </c>
      <c r="V1" s="2" t="s">
        <v>205</v>
      </c>
      <c r="W1" s="2" t="s">
        <v>206</v>
      </c>
    </row>
    <row r="2" spans="1:23" x14ac:dyDescent="0.2">
      <c r="A2">
        <v>1</v>
      </c>
      <c r="B2">
        <v>190451840</v>
      </c>
      <c r="C2" t="s">
        <v>69</v>
      </c>
      <c r="D2" s="1" t="s">
        <v>70</v>
      </c>
      <c r="E2" s="1" t="s">
        <v>71</v>
      </c>
      <c r="F2">
        <f>E2-D2</f>
        <v>1.8495399951934814</v>
      </c>
      <c r="G2">
        <v>-47</v>
      </c>
      <c r="H2">
        <v>9.5</v>
      </c>
      <c r="I2">
        <v>44.637613000000002</v>
      </c>
      <c r="J2">
        <v>-63.587364999999998</v>
      </c>
      <c r="K2">
        <v>48</v>
      </c>
      <c r="L2">
        <v>7</v>
      </c>
      <c r="M2">
        <v>7</v>
      </c>
      <c r="N2">
        <f>L2-M2</f>
        <v>0</v>
      </c>
      <c r="O2">
        <f>COUNT(A2:A63)/84*100</f>
        <v>73.80952380952381</v>
      </c>
      <c r="P2">
        <f>AVERAGE(F2:F63)</f>
        <v>6.4404012656980942</v>
      </c>
      <c r="Q2">
        <f>2*6371000*ASIN(
SQRT(
SIN(RADIANS(extra!$O$2-I2)/2)^2+
COS(RADIANS(I2))*COS(RADIANS(extra!$O$2))*
SIN(RADIANS(extra!$P$2-J2)/2)^2
)
)</f>
        <v>23.001235656757817</v>
      </c>
      <c r="R2">
        <f>2*6371000*ASIN(
SQRT(
SIN(RADIANS(extra!$O$7-I2)/2)^2+
COS(RADIANS(I2))*COS(RADIANS(extra!$O$7))*
SIN(RADIANS(extra!$P$7-J2)/2)^2
)
)</f>
        <v>23.845935659508861</v>
      </c>
      <c r="S2">
        <f>2*6371000*ASIN(
SQRT(
SIN(RADIANS(extra!$O$5-I2)/2)^2+
COS(RADIANS(I2))*COS(RADIANS(extra!$O$5))*
SIN(RADIANS(extra!$P$5-J2)/2)^2
)
)</f>
        <v>98.583528914771691</v>
      </c>
      <c r="T2">
        <f>2*6371000*ASIN(
SQRT(
SIN(RADIANS(extra!$O$6-I2)/2)^2+
COS(RADIANS(I2))*COS(RADIANS(extra!$O$6))*
SIN(RADIANS(extra!$P$6-J2)/2)^2
)
)</f>
        <v>218.97104554473287</v>
      </c>
      <c r="U2">
        <f>2*6371000*ASIN(
SQRT(
SIN(RADIANS(extra!$O$3-I2)/2)^2+
COS(RADIANS(I2))*COS(RADIANS(extra!$O$3))*
SIN(RADIANS(extra!$P$3-J2)/2)^2
)
)</f>
        <v>559.14507069693514</v>
      </c>
      <c r="V2">
        <f>2*6371000*ASIN(
SQRT(
SIN(RADIANS(extra!$O$4-I2)/2)^2+
COS(RADIANS(I2))*COS(RADIANS(extra!$O$4))*
SIN(RADIANS(extra!$P$4-J2)/2)^2
)
)</f>
        <v>463.58599125042235</v>
      </c>
      <c r="W2">
        <f>MIN(Q2:V2)</f>
        <v>23.001235656757817</v>
      </c>
    </row>
    <row r="3" spans="1:23" x14ac:dyDescent="0.2">
      <c r="A3">
        <v>2</v>
      </c>
      <c r="B3">
        <v>2690944129</v>
      </c>
      <c r="C3" t="s">
        <v>69</v>
      </c>
      <c r="D3" s="1" t="s">
        <v>72</v>
      </c>
      <c r="E3" s="1" t="s">
        <v>73</v>
      </c>
      <c r="F3">
        <f t="shared" ref="F3:F63" si="0">E3-D3</f>
        <v>2.0892601013183594</v>
      </c>
      <c r="G3">
        <v>-51</v>
      </c>
      <c r="H3">
        <v>9.25</v>
      </c>
      <c r="I3">
        <v>44.637613000000002</v>
      </c>
      <c r="J3">
        <v>-63.587364999999998</v>
      </c>
      <c r="K3">
        <v>48</v>
      </c>
      <c r="L3">
        <v>7</v>
      </c>
      <c r="M3">
        <v>7</v>
      </c>
      <c r="N3">
        <f t="shared" ref="N3:N63" si="1">L3-M3</f>
        <v>0</v>
      </c>
      <c r="Q3">
        <f>2*6371000*ASIN(
SQRT(
SIN(RADIANS(extra!$O$2-I3)/2)^2+
COS(RADIANS(I3))*COS(RADIANS(extra!$O$2))*
SIN(RADIANS(extra!$P$2-J3)/2)^2
)
)</f>
        <v>23.001235656757817</v>
      </c>
      <c r="R3">
        <f>2*6371000*ASIN(
SQRT(
SIN(RADIANS(extra!$O$7-I3)/2)^2+
COS(RADIANS(I3))*COS(RADIANS(extra!$O$7))*
SIN(RADIANS(extra!$P$7-J3)/2)^2
)
)</f>
        <v>23.845935659508861</v>
      </c>
      <c r="S3">
        <f>2*6371000*ASIN(
SQRT(
SIN(RADIANS(extra!$O$5-I3)/2)^2+
COS(RADIANS(I3))*COS(RADIANS(extra!$O$5))*
SIN(RADIANS(extra!$P$5-J3)/2)^2
)
)</f>
        <v>98.583528914771691</v>
      </c>
      <c r="T3">
        <f>2*6371000*ASIN(
SQRT(
SIN(RADIANS(extra!$O$6-I3)/2)^2+
COS(RADIANS(I3))*COS(RADIANS(extra!$O$6))*
SIN(RADIANS(extra!$P$6-J3)/2)^2
)
)</f>
        <v>218.97104554473287</v>
      </c>
      <c r="U3">
        <f>2*6371000*ASIN(
SQRT(
SIN(RADIANS(extra!$O$3-I3)/2)^2+
COS(RADIANS(I3))*COS(RADIANS(extra!$O$3))*
SIN(RADIANS(extra!$P$3-J3)/2)^2
)
)</f>
        <v>559.14507069693514</v>
      </c>
      <c r="V3">
        <f>2*6371000*ASIN(
SQRT(
SIN(RADIANS(extra!$O$4-I3)/2)^2+
COS(RADIANS(I3))*COS(RADIANS(extra!$O$4))*
SIN(RADIANS(extra!$P$4-J3)/2)^2
)
)</f>
        <v>463.58599125042235</v>
      </c>
      <c r="W3">
        <f t="shared" ref="W3:W63" si="2">MIN(Q3:V3)</f>
        <v>23.001235656757817</v>
      </c>
    </row>
    <row r="4" spans="1:23" x14ac:dyDescent="0.2">
      <c r="A4">
        <v>3</v>
      </c>
      <c r="B4">
        <v>709841026</v>
      </c>
      <c r="C4" t="s">
        <v>69</v>
      </c>
      <c r="D4" s="1" t="s">
        <v>74</v>
      </c>
      <c r="E4" s="1" t="s">
        <v>75</v>
      </c>
      <c r="F4">
        <f t="shared" si="0"/>
        <v>1.7227399349212646</v>
      </c>
      <c r="G4">
        <v>-47</v>
      </c>
      <c r="H4">
        <v>10.5</v>
      </c>
      <c r="I4">
        <v>44.637613000000002</v>
      </c>
      <c r="J4">
        <v>-63.587364999999998</v>
      </c>
      <c r="K4">
        <v>48</v>
      </c>
      <c r="L4">
        <v>7</v>
      </c>
      <c r="M4">
        <v>7</v>
      </c>
      <c r="N4">
        <f t="shared" si="1"/>
        <v>0</v>
      </c>
      <c r="Q4">
        <f>2*6371000*ASIN(
SQRT(
SIN(RADIANS(extra!$O$2-I4)/2)^2+
COS(RADIANS(I4))*COS(RADIANS(extra!$O$2))*
SIN(RADIANS(extra!$P$2-J4)/2)^2
)
)</f>
        <v>23.001235656757817</v>
      </c>
      <c r="R4">
        <f>2*6371000*ASIN(
SQRT(
SIN(RADIANS(extra!$O$7-I4)/2)^2+
COS(RADIANS(I4))*COS(RADIANS(extra!$O$7))*
SIN(RADIANS(extra!$P$7-J4)/2)^2
)
)</f>
        <v>23.845935659508861</v>
      </c>
      <c r="S4">
        <f>2*6371000*ASIN(
SQRT(
SIN(RADIANS(extra!$O$5-I4)/2)^2+
COS(RADIANS(I4))*COS(RADIANS(extra!$O$5))*
SIN(RADIANS(extra!$P$5-J4)/2)^2
)
)</f>
        <v>98.583528914771691</v>
      </c>
      <c r="T4">
        <f>2*6371000*ASIN(
SQRT(
SIN(RADIANS(extra!$O$6-I4)/2)^2+
COS(RADIANS(I4))*COS(RADIANS(extra!$O$6))*
SIN(RADIANS(extra!$P$6-J4)/2)^2
)
)</f>
        <v>218.97104554473287</v>
      </c>
      <c r="U4">
        <f>2*6371000*ASIN(
SQRT(
SIN(RADIANS(extra!$O$3-I4)/2)^2+
COS(RADIANS(I4))*COS(RADIANS(extra!$O$3))*
SIN(RADIANS(extra!$P$3-J4)/2)^2
)
)</f>
        <v>559.14507069693514</v>
      </c>
      <c r="V4">
        <f>2*6371000*ASIN(
SQRT(
SIN(RADIANS(extra!$O$4-I4)/2)^2+
COS(RADIANS(I4))*COS(RADIANS(extra!$O$4))*
SIN(RADIANS(extra!$P$4-J4)/2)^2
)
)</f>
        <v>463.58599125042235</v>
      </c>
      <c r="W4">
        <f t="shared" si="2"/>
        <v>23.001235656757817</v>
      </c>
    </row>
    <row r="5" spans="1:23" x14ac:dyDescent="0.2">
      <c r="A5">
        <v>4</v>
      </c>
      <c r="B5">
        <v>586772611</v>
      </c>
      <c r="C5" t="s">
        <v>69</v>
      </c>
      <c r="D5" s="1" t="s">
        <v>76</v>
      </c>
      <c r="E5" s="1" t="s">
        <v>77</v>
      </c>
      <c r="F5">
        <f t="shared" si="0"/>
        <v>2.5774099826812744</v>
      </c>
      <c r="G5">
        <v>-45</v>
      </c>
      <c r="H5">
        <v>10.5</v>
      </c>
      <c r="I5">
        <v>44.637613000000002</v>
      </c>
      <c r="J5">
        <v>-63.587364999999998</v>
      </c>
      <c r="K5">
        <v>48</v>
      </c>
      <c r="L5">
        <v>7</v>
      </c>
      <c r="M5">
        <v>7</v>
      </c>
      <c r="N5">
        <f t="shared" si="1"/>
        <v>0</v>
      </c>
      <c r="Q5">
        <f>2*6371000*ASIN(
SQRT(
SIN(RADIANS(extra!$O$2-I5)/2)^2+
COS(RADIANS(I5))*COS(RADIANS(extra!$O$2))*
SIN(RADIANS(extra!$P$2-J5)/2)^2
)
)</f>
        <v>23.001235656757817</v>
      </c>
      <c r="R5">
        <f>2*6371000*ASIN(
SQRT(
SIN(RADIANS(extra!$O$7-I5)/2)^2+
COS(RADIANS(I5))*COS(RADIANS(extra!$O$7))*
SIN(RADIANS(extra!$P$7-J5)/2)^2
)
)</f>
        <v>23.845935659508861</v>
      </c>
      <c r="S5">
        <f>2*6371000*ASIN(
SQRT(
SIN(RADIANS(extra!$O$5-I5)/2)^2+
COS(RADIANS(I5))*COS(RADIANS(extra!$O$5))*
SIN(RADIANS(extra!$P$5-J5)/2)^2
)
)</f>
        <v>98.583528914771691</v>
      </c>
      <c r="T5">
        <f>2*6371000*ASIN(
SQRT(
SIN(RADIANS(extra!$O$6-I5)/2)^2+
COS(RADIANS(I5))*COS(RADIANS(extra!$O$6))*
SIN(RADIANS(extra!$P$6-J5)/2)^2
)
)</f>
        <v>218.97104554473287</v>
      </c>
      <c r="U5">
        <f>2*6371000*ASIN(
SQRT(
SIN(RADIANS(extra!$O$3-I5)/2)^2+
COS(RADIANS(I5))*COS(RADIANS(extra!$O$3))*
SIN(RADIANS(extra!$P$3-J5)/2)^2
)
)</f>
        <v>559.14507069693514</v>
      </c>
      <c r="V5">
        <f>2*6371000*ASIN(
SQRT(
SIN(RADIANS(extra!$O$4-I5)/2)^2+
COS(RADIANS(I5))*COS(RADIANS(extra!$O$4))*
SIN(RADIANS(extra!$P$4-J5)/2)^2
)
)</f>
        <v>463.58599125042235</v>
      </c>
      <c r="W5">
        <f t="shared" si="2"/>
        <v>23.001235656757817</v>
      </c>
    </row>
    <row r="6" spans="1:23" x14ac:dyDescent="0.2">
      <c r="A6">
        <v>5</v>
      </c>
      <c r="B6">
        <v>3214359684</v>
      </c>
      <c r="C6" t="s">
        <v>69</v>
      </c>
      <c r="D6" s="1" t="s">
        <v>78</v>
      </c>
      <c r="E6" s="1" t="s">
        <v>79</v>
      </c>
      <c r="F6">
        <f t="shared" si="0"/>
        <v>1.9299499988555908</v>
      </c>
      <c r="G6">
        <v>-46</v>
      </c>
      <c r="H6">
        <v>10.25</v>
      </c>
      <c r="I6">
        <v>44.637613000000002</v>
      </c>
      <c r="J6">
        <v>-63.587364999999998</v>
      </c>
      <c r="K6">
        <v>48</v>
      </c>
      <c r="L6">
        <v>7</v>
      </c>
      <c r="M6">
        <v>7</v>
      </c>
      <c r="N6">
        <f t="shared" si="1"/>
        <v>0</v>
      </c>
      <c r="Q6">
        <f>2*6371000*ASIN(
SQRT(
SIN(RADIANS(extra!$O$2-I6)/2)^2+
COS(RADIANS(I6))*COS(RADIANS(extra!$O$2))*
SIN(RADIANS(extra!$P$2-J6)/2)^2
)
)</f>
        <v>23.001235656757817</v>
      </c>
      <c r="R6">
        <f>2*6371000*ASIN(
SQRT(
SIN(RADIANS(extra!$O$7-I6)/2)^2+
COS(RADIANS(I6))*COS(RADIANS(extra!$O$7))*
SIN(RADIANS(extra!$P$7-J6)/2)^2
)
)</f>
        <v>23.845935659508861</v>
      </c>
      <c r="S6">
        <f>2*6371000*ASIN(
SQRT(
SIN(RADIANS(extra!$O$5-I6)/2)^2+
COS(RADIANS(I6))*COS(RADIANS(extra!$O$5))*
SIN(RADIANS(extra!$P$5-J6)/2)^2
)
)</f>
        <v>98.583528914771691</v>
      </c>
      <c r="T6">
        <f>2*6371000*ASIN(
SQRT(
SIN(RADIANS(extra!$O$6-I6)/2)^2+
COS(RADIANS(I6))*COS(RADIANS(extra!$O$6))*
SIN(RADIANS(extra!$P$6-J6)/2)^2
)
)</f>
        <v>218.97104554473287</v>
      </c>
      <c r="U6">
        <f>2*6371000*ASIN(
SQRT(
SIN(RADIANS(extra!$O$3-I6)/2)^2+
COS(RADIANS(I6))*COS(RADIANS(extra!$O$3))*
SIN(RADIANS(extra!$P$3-J6)/2)^2
)
)</f>
        <v>559.14507069693514</v>
      </c>
      <c r="V6">
        <f>2*6371000*ASIN(
SQRT(
SIN(RADIANS(extra!$O$4-I6)/2)^2+
COS(RADIANS(I6))*COS(RADIANS(extra!$O$4))*
SIN(RADIANS(extra!$P$4-J6)/2)^2
)
)</f>
        <v>463.58599125042235</v>
      </c>
      <c r="W6">
        <f t="shared" si="2"/>
        <v>23.001235656757817</v>
      </c>
    </row>
    <row r="7" spans="1:23" x14ac:dyDescent="0.2">
      <c r="A7">
        <v>6</v>
      </c>
      <c r="B7">
        <v>3688805509</v>
      </c>
      <c r="C7" t="s">
        <v>69</v>
      </c>
      <c r="D7" s="1" t="s">
        <v>80</v>
      </c>
      <c r="E7" s="1" t="s">
        <v>81</v>
      </c>
      <c r="F7">
        <f t="shared" si="0"/>
        <v>2.0154600143432617</v>
      </c>
      <c r="G7">
        <v>-43</v>
      </c>
      <c r="H7">
        <v>9.25</v>
      </c>
      <c r="I7">
        <v>44.637613000000002</v>
      </c>
      <c r="J7">
        <v>-63.587366000000003</v>
      </c>
      <c r="K7">
        <v>48</v>
      </c>
      <c r="L7">
        <v>7</v>
      </c>
      <c r="M7">
        <v>7</v>
      </c>
      <c r="N7">
        <f t="shared" si="1"/>
        <v>0</v>
      </c>
      <c r="Q7">
        <f>2*6371000*ASIN(
SQRT(
SIN(RADIANS(extra!$O$2-I7)/2)^2+
COS(RADIANS(I7))*COS(RADIANS(extra!$O$2))*
SIN(RADIANS(extra!$P$2-J7)/2)^2
)
)</f>
        <v>23.027757495974619</v>
      </c>
      <c r="R7">
        <f>2*6371000*ASIN(
SQRT(
SIN(RADIANS(extra!$O$7-I7)/2)^2+
COS(RADIANS(I7))*COS(RADIANS(extra!$O$7))*
SIN(RADIANS(extra!$P$7-J7)/2)^2
)
)</f>
        <v>23.807969226339623</v>
      </c>
      <c r="S7">
        <f>2*6371000*ASIN(
SQRT(
SIN(RADIANS(extra!$O$5-I7)/2)^2+
COS(RADIANS(I7))*COS(RADIANS(extra!$O$5))*
SIN(RADIANS(extra!$P$5-J7)/2)^2
)
)</f>
        <v>98.513999785476898</v>
      </c>
      <c r="T7">
        <f>2*6371000*ASIN(
SQRT(
SIN(RADIANS(extra!$O$6-I7)/2)^2+
COS(RADIANS(I7))*COS(RADIANS(extra!$O$6))*
SIN(RADIANS(extra!$P$6-J7)/2)^2
)
)</f>
        <v>218.89202328417991</v>
      </c>
      <c r="U7">
        <f>2*6371000*ASIN(
SQRT(
SIN(RADIANS(extra!$O$3-I7)/2)^2+
COS(RADIANS(I7))*COS(RADIANS(extra!$O$3))*
SIN(RADIANS(extra!$P$3-J7)/2)^2
)
)</f>
        <v>559.06947183107218</v>
      </c>
      <c r="V7">
        <f>2*6371000*ASIN(
SQRT(
SIN(RADIANS(extra!$O$4-I7)/2)^2+
COS(RADIANS(I7))*COS(RADIANS(extra!$O$4))*
SIN(RADIANS(extra!$P$4-J7)/2)^2
)
)</f>
        <v>463.50687013259432</v>
      </c>
      <c r="W7">
        <f t="shared" si="2"/>
        <v>23.027757495974619</v>
      </c>
    </row>
    <row r="8" spans="1:23" x14ac:dyDescent="0.2">
      <c r="A8">
        <v>7</v>
      </c>
      <c r="B8">
        <v>1246024838</v>
      </c>
      <c r="C8" t="s">
        <v>69</v>
      </c>
      <c r="D8" s="1" t="s">
        <v>82</v>
      </c>
      <c r="E8" s="1" t="s">
        <v>83</v>
      </c>
      <c r="F8">
        <f t="shared" si="0"/>
        <v>3.5180301666259766</v>
      </c>
      <c r="G8">
        <v>-39</v>
      </c>
      <c r="H8">
        <v>10.25</v>
      </c>
      <c r="I8">
        <v>44.637613000000002</v>
      </c>
      <c r="J8">
        <v>-63.587366000000003</v>
      </c>
      <c r="K8">
        <v>48</v>
      </c>
      <c r="L8">
        <v>7</v>
      </c>
      <c r="M8">
        <v>7</v>
      </c>
      <c r="N8">
        <f t="shared" si="1"/>
        <v>0</v>
      </c>
      <c r="Q8">
        <f>2*6371000*ASIN(
SQRT(
SIN(RADIANS(extra!$O$2-I8)/2)^2+
COS(RADIANS(I8))*COS(RADIANS(extra!$O$2))*
SIN(RADIANS(extra!$P$2-J8)/2)^2
)
)</f>
        <v>23.027757495974619</v>
      </c>
      <c r="R8">
        <f>2*6371000*ASIN(
SQRT(
SIN(RADIANS(extra!$O$7-I8)/2)^2+
COS(RADIANS(I8))*COS(RADIANS(extra!$O$7))*
SIN(RADIANS(extra!$P$7-J8)/2)^2
)
)</f>
        <v>23.807969226339623</v>
      </c>
      <c r="S8">
        <f>2*6371000*ASIN(
SQRT(
SIN(RADIANS(extra!$O$5-I8)/2)^2+
COS(RADIANS(I8))*COS(RADIANS(extra!$O$5))*
SIN(RADIANS(extra!$P$5-J8)/2)^2
)
)</f>
        <v>98.513999785476898</v>
      </c>
      <c r="T8">
        <f>2*6371000*ASIN(
SQRT(
SIN(RADIANS(extra!$O$6-I8)/2)^2+
COS(RADIANS(I8))*COS(RADIANS(extra!$O$6))*
SIN(RADIANS(extra!$P$6-J8)/2)^2
)
)</f>
        <v>218.89202328417991</v>
      </c>
      <c r="U8">
        <f>2*6371000*ASIN(
SQRT(
SIN(RADIANS(extra!$O$3-I8)/2)^2+
COS(RADIANS(I8))*COS(RADIANS(extra!$O$3))*
SIN(RADIANS(extra!$P$3-J8)/2)^2
)
)</f>
        <v>559.06947183107218</v>
      </c>
      <c r="V8">
        <f>2*6371000*ASIN(
SQRT(
SIN(RADIANS(extra!$O$4-I8)/2)^2+
COS(RADIANS(I8))*COS(RADIANS(extra!$O$4))*
SIN(RADIANS(extra!$P$4-J8)/2)^2
)
)</f>
        <v>463.50687013259432</v>
      </c>
      <c r="W8">
        <f t="shared" si="2"/>
        <v>23.027757495974619</v>
      </c>
    </row>
    <row r="9" spans="1:23" x14ac:dyDescent="0.2">
      <c r="A9">
        <v>8</v>
      </c>
      <c r="B9">
        <v>435356807</v>
      </c>
      <c r="C9" t="s">
        <v>69</v>
      </c>
      <c r="D9" s="1" t="s">
        <v>84</v>
      </c>
      <c r="E9" s="1" t="s">
        <v>85</v>
      </c>
      <c r="F9">
        <f t="shared" si="0"/>
        <v>1.891049861907959</v>
      </c>
      <c r="G9">
        <v>-39</v>
      </c>
      <c r="H9">
        <v>9.5</v>
      </c>
      <c r="I9">
        <v>44.637613000000002</v>
      </c>
      <c r="J9">
        <v>-63.587366000000003</v>
      </c>
      <c r="K9">
        <v>48</v>
      </c>
      <c r="L9">
        <v>7</v>
      </c>
      <c r="M9">
        <v>7</v>
      </c>
      <c r="N9">
        <f t="shared" si="1"/>
        <v>0</v>
      </c>
      <c r="Q9">
        <f>2*6371000*ASIN(
SQRT(
SIN(RADIANS(extra!$O$2-I9)/2)^2+
COS(RADIANS(I9))*COS(RADIANS(extra!$O$2))*
SIN(RADIANS(extra!$P$2-J9)/2)^2
)
)</f>
        <v>23.027757495974619</v>
      </c>
      <c r="R9">
        <f>2*6371000*ASIN(
SQRT(
SIN(RADIANS(extra!$O$7-I9)/2)^2+
COS(RADIANS(I9))*COS(RADIANS(extra!$O$7))*
SIN(RADIANS(extra!$P$7-J9)/2)^2
)
)</f>
        <v>23.807969226339623</v>
      </c>
      <c r="S9">
        <f>2*6371000*ASIN(
SQRT(
SIN(RADIANS(extra!$O$5-I9)/2)^2+
COS(RADIANS(I9))*COS(RADIANS(extra!$O$5))*
SIN(RADIANS(extra!$P$5-J9)/2)^2
)
)</f>
        <v>98.513999785476898</v>
      </c>
      <c r="T9">
        <f>2*6371000*ASIN(
SQRT(
SIN(RADIANS(extra!$O$6-I9)/2)^2+
COS(RADIANS(I9))*COS(RADIANS(extra!$O$6))*
SIN(RADIANS(extra!$P$6-J9)/2)^2
)
)</f>
        <v>218.89202328417991</v>
      </c>
      <c r="U9">
        <f>2*6371000*ASIN(
SQRT(
SIN(RADIANS(extra!$O$3-I9)/2)^2+
COS(RADIANS(I9))*COS(RADIANS(extra!$O$3))*
SIN(RADIANS(extra!$P$3-J9)/2)^2
)
)</f>
        <v>559.06947183107218</v>
      </c>
      <c r="V9">
        <f>2*6371000*ASIN(
SQRT(
SIN(RADIANS(extra!$O$4-I9)/2)^2+
COS(RADIANS(I9))*COS(RADIANS(extra!$O$4))*
SIN(RADIANS(extra!$P$4-J9)/2)^2
)
)</f>
        <v>463.50687013259432</v>
      </c>
      <c r="W9">
        <f t="shared" si="2"/>
        <v>23.027757495974619</v>
      </c>
    </row>
    <row r="10" spans="1:23" x14ac:dyDescent="0.2">
      <c r="A10">
        <v>9</v>
      </c>
      <c r="B10">
        <v>674494600</v>
      </c>
      <c r="C10" t="s">
        <v>69</v>
      </c>
      <c r="D10" s="1" t="s">
        <v>86</v>
      </c>
      <c r="E10" s="1" t="s">
        <v>87</v>
      </c>
      <c r="F10">
        <f t="shared" si="0"/>
        <v>1.950390100479126</v>
      </c>
      <c r="G10">
        <v>-40</v>
      </c>
      <c r="H10">
        <v>9.5</v>
      </c>
      <c r="I10">
        <v>44.637613999999999</v>
      </c>
      <c r="J10">
        <v>-63.587366000000003</v>
      </c>
      <c r="K10">
        <v>48</v>
      </c>
      <c r="L10">
        <v>7</v>
      </c>
      <c r="M10">
        <v>7</v>
      </c>
      <c r="N10">
        <f t="shared" si="1"/>
        <v>0</v>
      </c>
      <c r="Q10">
        <f>2*6371000*ASIN(
SQRT(
SIN(RADIANS(extra!$O$2-I10)/2)^2+
COS(RADIANS(I10))*COS(RADIANS(extra!$O$2))*
SIN(RADIANS(extra!$P$2-J10)/2)^2
)
)</f>
        <v>23.132489276433567</v>
      </c>
      <c r="R10">
        <f>2*6371000*ASIN(
SQRT(
SIN(RADIANS(extra!$O$7-I10)/2)^2+
COS(RADIANS(I10))*COS(RADIANS(extra!$O$7))*
SIN(RADIANS(extra!$P$7-J10)/2)^2
)
)</f>
        <v>23.905663386498645</v>
      </c>
      <c r="S10">
        <f>2*6371000*ASIN(
SQRT(
SIN(RADIANS(extra!$O$5-I10)/2)^2+
COS(RADIANS(I10))*COS(RADIANS(extra!$O$5))*
SIN(RADIANS(extra!$P$5-J10)/2)^2
)
)</f>
        <v>98.567137508393529</v>
      </c>
      <c r="T10">
        <f>2*6371000*ASIN(
SQRT(
SIN(RADIANS(extra!$O$6-I10)/2)^2+
COS(RADIANS(I10))*COS(RADIANS(extra!$O$6))*
SIN(RADIANS(extra!$P$6-J10)/2)^2
)
)</f>
        <v>218.8864574714224</v>
      </c>
      <c r="U10">
        <f>2*6371000*ASIN(
SQRT(
SIN(RADIANS(extra!$O$3-I10)/2)^2+
COS(RADIANS(I10))*COS(RADIANS(extra!$O$3))*
SIN(RADIANS(extra!$P$3-J10)/2)^2
)
)</f>
        <v>559.10229748907295</v>
      </c>
      <c r="V10">
        <f>2*6371000*ASIN(
SQRT(
SIN(RADIANS(extra!$O$4-I10)/2)^2+
COS(RADIANS(I10))*COS(RADIANS(extra!$O$4))*
SIN(RADIANS(extra!$P$4-J10)/2)^2
)
)</f>
        <v>463.50751968981285</v>
      </c>
      <c r="W10">
        <f t="shared" si="2"/>
        <v>23.132489276433567</v>
      </c>
    </row>
    <row r="11" spans="1:23" x14ac:dyDescent="0.2">
      <c r="A11">
        <v>10</v>
      </c>
      <c r="B11">
        <v>2629210249</v>
      </c>
      <c r="C11" t="s">
        <v>69</v>
      </c>
      <c r="D11" s="1" t="s">
        <v>88</v>
      </c>
      <c r="E11" s="1" t="s">
        <v>89</v>
      </c>
      <c r="F11">
        <f t="shared" si="0"/>
        <v>1.890859842300415</v>
      </c>
      <c r="G11">
        <v>-72</v>
      </c>
      <c r="H11">
        <v>10</v>
      </c>
      <c r="I11">
        <v>44.637613999999999</v>
      </c>
      <c r="J11">
        <v>-63.587366000000003</v>
      </c>
      <c r="K11">
        <v>48</v>
      </c>
      <c r="L11">
        <v>7</v>
      </c>
      <c r="M11">
        <v>7</v>
      </c>
      <c r="N11">
        <f t="shared" si="1"/>
        <v>0</v>
      </c>
      <c r="Q11">
        <f>2*6371000*ASIN(
SQRT(
SIN(RADIANS(extra!$O$2-I11)/2)^2+
COS(RADIANS(I11))*COS(RADIANS(extra!$O$2))*
SIN(RADIANS(extra!$P$2-J11)/2)^2
)
)</f>
        <v>23.132489276433567</v>
      </c>
      <c r="R11">
        <f>2*6371000*ASIN(
SQRT(
SIN(RADIANS(extra!$O$7-I11)/2)^2+
COS(RADIANS(I11))*COS(RADIANS(extra!$O$7))*
SIN(RADIANS(extra!$P$7-J11)/2)^2
)
)</f>
        <v>23.905663386498645</v>
      </c>
      <c r="S11">
        <f>2*6371000*ASIN(
SQRT(
SIN(RADIANS(extra!$O$5-I11)/2)^2+
COS(RADIANS(I11))*COS(RADIANS(extra!$O$5))*
SIN(RADIANS(extra!$P$5-J11)/2)^2
)
)</f>
        <v>98.567137508393529</v>
      </c>
      <c r="T11">
        <f>2*6371000*ASIN(
SQRT(
SIN(RADIANS(extra!$O$6-I11)/2)^2+
COS(RADIANS(I11))*COS(RADIANS(extra!$O$6))*
SIN(RADIANS(extra!$P$6-J11)/2)^2
)
)</f>
        <v>218.8864574714224</v>
      </c>
      <c r="U11">
        <f>2*6371000*ASIN(
SQRT(
SIN(RADIANS(extra!$O$3-I11)/2)^2+
COS(RADIANS(I11))*COS(RADIANS(extra!$O$3))*
SIN(RADIANS(extra!$P$3-J11)/2)^2
)
)</f>
        <v>559.10229748907295</v>
      </c>
      <c r="V11">
        <f>2*6371000*ASIN(
SQRT(
SIN(RADIANS(extra!$O$4-I11)/2)^2+
COS(RADIANS(I11))*COS(RADIANS(extra!$O$4))*
SIN(RADIANS(extra!$P$4-J11)/2)^2
)
)</f>
        <v>463.50751968981285</v>
      </c>
      <c r="W11">
        <f t="shared" si="2"/>
        <v>23.132489276433567</v>
      </c>
    </row>
    <row r="12" spans="1:23" x14ac:dyDescent="0.2">
      <c r="A12">
        <v>11</v>
      </c>
      <c r="B12">
        <v>3443336330</v>
      </c>
      <c r="C12" t="s">
        <v>69</v>
      </c>
      <c r="D12" s="1" t="s">
        <v>90</v>
      </c>
      <c r="E12" s="1" t="s">
        <v>91</v>
      </c>
      <c r="F12">
        <f t="shared" si="0"/>
        <v>1.8667199611663818</v>
      </c>
      <c r="G12">
        <v>-92</v>
      </c>
      <c r="H12">
        <v>9.75</v>
      </c>
      <c r="I12">
        <v>44.637613999999999</v>
      </c>
      <c r="J12">
        <v>-63.587366000000003</v>
      </c>
      <c r="K12">
        <v>48</v>
      </c>
      <c r="L12">
        <v>7</v>
      </c>
      <c r="M12">
        <v>7</v>
      </c>
      <c r="N12">
        <f t="shared" si="1"/>
        <v>0</v>
      </c>
      <c r="Q12">
        <f>2*6371000*ASIN(
SQRT(
SIN(RADIANS(extra!$O$2-I12)/2)^2+
COS(RADIANS(I12))*COS(RADIANS(extra!$O$2))*
SIN(RADIANS(extra!$P$2-J12)/2)^2
)
)</f>
        <v>23.132489276433567</v>
      </c>
      <c r="R12">
        <f>2*6371000*ASIN(
SQRT(
SIN(RADIANS(extra!$O$7-I12)/2)^2+
COS(RADIANS(I12))*COS(RADIANS(extra!$O$7))*
SIN(RADIANS(extra!$P$7-J12)/2)^2
)
)</f>
        <v>23.905663386498645</v>
      </c>
      <c r="S12">
        <f>2*6371000*ASIN(
SQRT(
SIN(RADIANS(extra!$O$5-I12)/2)^2+
COS(RADIANS(I12))*COS(RADIANS(extra!$O$5))*
SIN(RADIANS(extra!$P$5-J12)/2)^2
)
)</f>
        <v>98.567137508393529</v>
      </c>
      <c r="T12">
        <f>2*6371000*ASIN(
SQRT(
SIN(RADIANS(extra!$O$6-I12)/2)^2+
COS(RADIANS(I12))*COS(RADIANS(extra!$O$6))*
SIN(RADIANS(extra!$P$6-J12)/2)^2
)
)</f>
        <v>218.8864574714224</v>
      </c>
      <c r="U12">
        <f>2*6371000*ASIN(
SQRT(
SIN(RADIANS(extra!$O$3-I12)/2)^2+
COS(RADIANS(I12))*COS(RADIANS(extra!$O$3))*
SIN(RADIANS(extra!$P$3-J12)/2)^2
)
)</f>
        <v>559.10229748907295</v>
      </c>
      <c r="V12">
        <f>2*6371000*ASIN(
SQRT(
SIN(RADIANS(extra!$O$4-I12)/2)^2+
COS(RADIANS(I12))*COS(RADIANS(extra!$O$4))*
SIN(RADIANS(extra!$P$4-J12)/2)^2
)
)</f>
        <v>463.50751968981285</v>
      </c>
      <c r="W12">
        <f t="shared" si="2"/>
        <v>23.132489276433567</v>
      </c>
    </row>
    <row r="13" spans="1:23" x14ac:dyDescent="0.2">
      <c r="A13">
        <v>12</v>
      </c>
      <c r="B13">
        <v>475634827</v>
      </c>
      <c r="C13" t="s">
        <v>69</v>
      </c>
      <c r="D13" s="1" t="s">
        <v>92</v>
      </c>
      <c r="E13" s="1" t="s">
        <v>93</v>
      </c>
      <c r="F13">
        <f t="shared" si="0"/>
        <v>2.1085600852966309</v>
      </c>
      <c r="G13">
        <v>-91</v>
      </c>
      <c r="H13">
        <v>9.25</v>
      </c>
      <c r="I13">
        <v>44.637518</v>
      </c>
      <c r="J13">
        <v>-63.587411000000003</v>
      </c>
      <c r="K13">
        <v>46</v>
      </c>
      <c r="L13">
        <v>7</v>
      </c>
      <c r="M13">
        <v>7</v>
      </c>
      <c r="N13">
        <f t="shared" si="1"/>
        <v>0</v>
      </c>
      <c r="Q13">
        <f>2*6371000*ASIN(
SQRT(
SIN(RADIANS(extra!$O$2-I13)/2)^2+
COS(RADIANS(I13))*COS(RADIANS(extra!$O$2))*
SIN(RADIANS(extra!$P$2-J13)/2)^2
)
)</f>
        <v>15.863851350676972</v>
      </c>
      <c r="R13">
        <f>2*6371000*ASIN(
SQRT(
SIN(RADIANS(extra!$O$7-I13)/2)^2+
COS(RADIANS(I13))*COS(RADIANS(extra!$O$7))*
SIN(RADIANS(extra!$P$7-J13)/2)^2
)
)</f>
        <v>12.972932659475628</v>
      </c>
      <c r="S13">
        <f>2*6371000*ASIN(
SQRT(
SIN(RADIANS(extra!$O$5-I13)/2)^2+
COS(RADIANS(I13))*COS(RADIANS(extra!$O$5))*
SIN(RADIANS(extra!$P$5-J13)/2)^2
)
)</f>
        <v>90.659614866850674</v>
      </c>
      <c r="T13">
        <f>2*6371000*ASIN(
SQRT(
SIN(RADIANS(extra!$O$6-I13)/2)^2+
COS(RADIANS(I13))*COS(RADIANS(extra!$O$6))*
SIN(RADIANS(extra!$P$6-J13)/2)^2
)
)</f>
        <v>216.13391979755343</v>
      </c>
      <c r="U13">
        <f>2*6371000*ASIN(
SQRT(
SIN(RADIANS(extra!$O$3-I13)/2)^2+
COS(RADIANS(I13))*COS(RADIANS(extra!$O$3))*
SIN(RADIANS(extra!$P$3-J13)/2)^2
)
)</f>
        <v>552.62404248624364</v>
      </c>
      <c r="V13">
        <f>2*6371000*ASIN(
SQRT(
SIN(RADIANS(extra!$O$4-I13)/2)^2+
COS(RADIANS(I13))*COS(RADIANS(extra!$O$4))*
SIN(RADIANS(extra!$P$4-J13)/2)^2
)
)</f>
        <v>460.006807073809</v>
      </c>
      <c r="W13">
        <f t="shared" si="2"/>
        <v>12.972932659475628</v>
      </c>
    </row>
    <row r="14" spans="1:23" x14ac:dyDescent="0.2">
      <c r="A14">
        <v>13</v>
      </c>
      <c r="B14">
        <v>1740768396</v>
      </c>
      <c r="C14" t="s">
        <v>69</v>
      </c>
      <c r="D14" s="1" t="s">
        <v>94</v>
      </c>
      <c r="E14" s="1" t="s">
        <v>95</v>
      </c>
      <c r="F14">
        <f t="shared" si="0"/>
        <v>5.5623300075531006</v>
      </c>
      <c r="G14">
        <v>-83</v>
      </c>
      <c r="H14">
        <v>8.75</v>
      </c>
      <c r="I14">
        <v>44.637466000000003</v>
      </c>
      <c r="J14">
        <v>-63.587730999999998</v>
      </c>
      <c r="K14">
        <v>48</v>
      </c>
      <c r="L14">
        <v>7</v>
      </c>
      <c r="M14">
        <v>6</v>
      </c>
      <c r="N14">
        <f t="shared" si="1"/>
        <v>1</v>
      </c>
      <c r="Q14">
        <f>2*6371000*ASIN(
SQRT(
SIN(RADIANS(extra!$O$2-I14)/2)^2+
COS(RADIANS(I14))*COS(RADIANS(extra!$O$2))*
SIN(RADIANS(extra!$P$2-J14)/2)^2
)
)</f>
        <v>37.020556043485819</v>
      </c>
      <c r="R14">
        <f>2*6371000*ASIN(
SQRT(
SIN(RADIANS(extra!$O$7-I14)/2)^2+
COS(RADIANS(I14))*COS(RADIANS(extra!$O$7))*
SIN(RADIANS(extra!$P$7-J14)/2)^2
)
)</f>
        <v>18.070645466124741</v>
      </c>
      <c r="S14">
        <f>2*6371000*ASIN(
SQRT(
SIN(RADIANS(extra!$O$5-I14)/2)^2+
COS(RADIANS(I14))*COS(RADIANS(extra!$O$5))*
SIN(RADIANS(extra!$P$5-J14)/2)^2
)
)</f>
        <v>65.336868760621698</v>
      </c>
      <c r="T14">
        <f>2*6371000*ASIN(
SQRT(
SIN(RADIANS(extra!$O$6-I14)/2)^2+
COS(RADIANS(I14))*COS(RADIANS(extra!$O$6))*
SIN(RADIANS(extra!$P$6-J14)/2)^2
)
)</f>
        <v>191.69727557360466</v>
      </c>
      <c r="U14">
        <f>2*6371000*ASIN(
SQRT(
SIN(RADIANS(extra!$O$3-I14)/2)^2+
COS(RADIANS(I14))*COS(RADIANS(extra!$O$3))*
SIN(RADIANS(extra!$P$3-J14)/2)^2
)
)</f>
        <v>526.69990991947986</v>
      </c>
      <c r="V14">
        <f>2*6371000*ASIN(
SQRT(
SIN(RADIANS(extra!$O$4-I14)/2)^2+
COS(RADIANS(I14))*COS(RADIANS(extra!$O$4))*
SIN(RADIANS(extra!$P$4-J14)/2)^2
)
)</f>
        <v>434.83519738740068</v>
      </c>
      <c r="W14">
        <f t="shared" si="2"/>
        <v>18.070645466124741</v>
      </c>
    </row>
    <row r="15" spans="1:23" x14ac:dyDescent="0.2">
      <c r="A15">
        <v>15</v>
      </c>
      <c r="B15">
        <v>2430557326</v>
      </c>
      <c r="C15" t="s">
        <v>69</v>
      </c>
      <c r="D15" s="1" t="s">
        <v>96</v>
      </c>
      <c r="E15" s="1" t="s">
        <v>97</v>
      </c>
      <c r="F15">
        <f t="shared" si="0"/>
        <v>4.229489803314209</v>
      </c>
      <c r="G15">
        <v>-83</v>
      </c>
      <c r="H15">
        <v>9.25</v>
      </c>
      <c r="I15">
        <v>44.636933999999997</v>
      </c>
      <c r="J15">
        <v>-63.587533000000001</v>
      </c>
      <c r="K15">
        <v>47</v>
      </c>
      <c r="L15">
        <v>7</v>
      </c>
      <c r="M15">
        <v>6</v>
      </c>
      <c r="N15">
        <f t="shared" si="1"/>
        <v>1</v>
      </c>
      <c r="Q15">
        <f>2*6371000*ASIN(
SQRT(
SIN(RADIANS(extra!$O$2-I15)/2)^2+
COS(RADIANS(I15))*COS(RADIANS(extra!$O$2))*
SIN(RADIANS(extra!$P$2-J15)/2)^2
)
)</f>
        <v>57.758586688576095</v>
      </c>
      <c r="R15">
        <f>2*6371000*ASIN(
SQRT(
SIN(RADIANS(extra!$O$7-I15)/2)^2+
COS(RADIANS(I15))*COS(RADIANS(extra!$O$7))*
SIN(RADIANS(extra!$P$7-J15)/2)^2
)
)</f>
        <v>54.62703002768037</v>
      </c>
      <c r="S15">
        <f>2*6371000*ASIN(
SQRT(
SIN(RADIANS(extra!$O$5-I15)/2)^2+
COS(RADIANS(I15))*COS(RADIANS(extra!$O$5))*
SIN(RADIANS(extra!$P$5-J15)/2)^2
)
)</f>
        <v>78.677285699315405</v>
      </c>
      <c r="T15">
        <f>2*6371000*ASIN(
SQRT(
SIN(RADIANS(extra!$O$6-I15)/2)^2+
COS(RADIANS(I15))*COS(RADIANS(extra!$O$6))*
SIN(RADIANS(extra!$P$6-J15)/2)^2
)
)</f>
        <v>222.87717252907882</v>
      </c>
      <c r="U15">
        <f>2*6371000*ASIN(
SQRT(
SIN(RADIANS(extra!$O$3-I15)/2)^2+
COS(RADIANS(I15))*COS(RADIANS(extra!$O$3))*
SIN(RADIANS(extra!$P$3-J15)/2)^2
)
)</f>
        <v>528.58587582373707</v>
      </c>
      <c r="V15">
        <f>2*6371000*ASIN(
SQRT(
SIN(RADIANS(extra!$O$4-I15)/2)^2+
COS(RADIANS(I15))*COS(RADIANS(extra!$O$4))*
SIN(RADIANS(extra!$P$4-J15)/2)^2
)
)</f>
        <v>456.14057133636464</v>
      </c>
      <c r="W15">
        <f t="shared" si="2"/>
        <v>54.62703002768037</v>
      </c>
    </row>
    <row r="16" spans="1:23" x14ac:dyDescent="0.2">
      <c r="A16">
        <v>19</v>
      </c>
      <c r="B16">
        <v>1784942738</v>
      </c>
      <c r="C16" t="s">
        <v>69</v>
      </c>
      <c r="D16" s="1" t="s">
        <v>98</v>
      </c>
      <c r="E16" s="1" t="s">
        <v>99</v>
      </c>
      <c r="F16">
        <f t="shared" si="0"/>
        <v>8.5181601047515869</v>
      </c>
      <c r="G16">
        <v>-88</v>
      </c>
      <c r="H16">
        <v>6.75</v>
      </c>
      <c r="I16">
        <v>44.635987</v>
      </c>
      <c r="J16">
        <v>-63.587397000000003</v>
      </c>
      <c r="K16">
        <v>45</v>
      </c>
      <c r="L16">
        <v>7</v>
      </c>
      <c r="M16">
        <v>4</v>
      </c>
      <c r="N16">
        <f t="shared" si="1"/>
        <v>3</v>
      </c>
      <c r="Q16">
        <f>2*6371000*ASIN(
SQRT(
SIN(RADIANS(extra!$O$2-I16)/2)^2+
COS(RADIANS(I16))*COS(RADIANS(extra!$O$2))*
SIN(RADIANS(extra!$P$2-J16)/2)^2
)
)</f>
        <v>159.44697291096972</v>
      </c>
      <c r="R16">
        <f>2*6371000*ASIN(
SQRT(
SIN(RADIANS(extra!$O$7-I16)/2)^2+
COS(RADIANS(I16))*COS(RADIANS(extra!$O$7))*
SIN(RADIANS(extra!$P$7-J16)/2)^2
)
)</f>
        <v>160.1480838891145</v>
      </c>
      <c r="S16">
        <f>2*6371000*ASIN(
SQRT(
SIN(RADIANS(extra!$O$5-I16)/2)^2+
COS(RADIANS(I16))*COS(RADIANS(extra!$O$5))*
SIN(RADIANS(extra!$P$5-J16)/2)^2
)
)</f>
        <v>158.01266200674121</v>
      </c>
      <c r="T16">
        <f>2*6371000*ASIN(
SQRT(
SIN(RADIANS(extra!$O$6-I16)/2)^2+
COS(RADIANS(I16))*COS(RADIANS(extra!$O$6))*
SIN(RADIANS(extra!$P$6-J16)/2)^2
)
)</f>
        <v>288.99650705500505</v>
      </c>
      <c r="U16">
        <f>2*6371000*ASIN(
SQRT(
SIN(RADIANS(extra!$O$3-I16)/2)^2+
COS(RADIANS(I16))*COS(RADIANS(extra!$O$3))*
SIN(RADIANS(extra!$P$3-J16)/2)^2
)
)</f>
        <v>531.9512505866204</v>
      </c>
      <c r="V16">
        <f>2*6371000*ASIN(
SQRT(
SIN(RADIANS(extra!$O$4-I16)/2)^2+
COS(RADIANS(I16))*COS(RADIANS(extra!$O$4))*
SIN(RADIANS(extra!$P$4-J16)/2)^2
)
)</f>
        <v>494.26870351982126</v>
      </c>
      <c r="W16">
        <f t="shared" si="2"/>
        <v>158.01266200674121</v>
      </c>
    </row>
    <row r="17" spans="1:23" x14ac:dyDescent="0.2">
      <c r="A17">
        <v>20</v>
      </c>
      <c r="B17">
        <v>1983431827</v>
      </c>
      <c r="C17" t="s">
        <v>69</v>
      </c>
      <c r="D17" s="1" t="s">
        <v>100</v>
      </c>
      <c r="E17" s="1" t="s">
        <v>101</v>
      </c>
      <c r="F17">
        <f t="shared" si="0"/>
        <v>10.298759937286377</v>
      </c>
      <c r="G17">
        <v>-85</v>
      </c>
      <c r="H17">
        <v>8.25</v>
      </c>
      <c r="I17">
        <v>44.635900999999997</v>
      </c>
      <c r="J17">
        <v>-63.587795</v>
      </c>
      <c r="K17">
        <v>45</v>
      </c>
      <c r="L17">
        <v>7</v>
      </c>
      <c r="M17">
        <v>4</v>
      </c>
      <c r="N17">
        <f t="shared" si="1"/>
        <v>3</v>
      </c>
      <c r="Q17">
        <f>2*6371000*ASIN(
SQRT(
SIN(RADIANS(extra!$O$2-I17)/2)^2+
COS(RADIANS(I17))*COS(RADIANS(extra!$O$2))*
SIN(RADIANS(extra!$P$2-J17)/2)^2
)
)</f>
        <v>173.76016265674045</v>
      </c>
      <c r="R17">
        <f>2*6371000*ASIN(
SQRT(
SIN(RADIANS(extra!$O$7-I17)/2)^2+
COS(RADIANS(I17))*COS(RADIANS(extra!$O$7))*
SIN(RADIANS(extra!$P$7-J17)/2)^2
)
)</f>
        <v>170.95487040639566</v>
      </c>
      <c r="S17">
        <f>2*6371000*ASIN(
SQRT(
SIN(RADIANS(extra!$O$5-I17)/2)^2+
COS(RADIANS(I17))*COS(RADIANS(extra!$O$5))*
SIN(RADIANS(extra!$P$5-J17)/2)^2
)
)</f>
        <v>152.68317332984668</v>
      </c>
      <c r="T17">
        <f>2*6371000*ASIN(
SQRT(
SIN(RADIANS(extra!$O$6-I17)/2)^2+
COS(RADIANS(I17))*COS(RADIANS(extra!$O$6))*
SIN(RADIANS(extra!$P$6-J17)/2)^2
)
)</f>
        <v>273.23265075888258</v>
      </c>
      <c r="U17">
        <f>2*6371000*ASIN(
SQRT(
SIN(RADIANS(extra!$O$3-I17)/2)^2+
COS(RADIANS(I17))*COS(RADIANS(extra!$O$3))*
SIN(RADIANS(extra!$P$3-J17)/2)^2
)
)</f>
        <v>500.86771087750583</v>
      </c>
      <c r="V17">
        <f>2*6371000*ASIN(
SQRT(
SIN(RADIANS(extra!$O$4-I17)/2)^2+
COS(RADIANS(I17))*COS(RADIANS(extra!$O$4))*
SIN(RADIANS(extra!$P$4-J17)/2)^2
)
)</f>
        <v>468.77893646861844</v>
      </c>
      <c r="W17">
        <f t="shared" si="2"/>
        <v>152.68317332984668</v>
      </c>
    </row>
    <row r="18" spans="1:23" x14ac:dyDescent="0.2">
      <c r="A18">
        <v>21</v>
      </c>
      <c r="B18">
        <v>1747953812</v>
      </c>
      <c r="C18" t="s">
        <v>69</v>
      </c>
      <c r="D18" s="1" t="s">
        <v>102</v>
      </c>
      <c r="E18" s="1" t="s">
        <v>103</v>
      </c>
      <c r="F18">
        <f t="shared" si="0"/>
        <v>6.2929298877716064</v>
      </c>
      <c r="G18">
        <v>-86</v>
      </c>
      <c r="H18">
        <v>8.25</v>
      </c>
      <c r="I18">
        <v>44.635902000000002</v>
      </c>
      <c r="J18">
        <v>-63.588158999999997</v>
      </c>
      <c r="K18">
        <v>46</v>
      </c>
      <c r="L18">
        <v>7</v>
      </c>
      <c r="M18">
        <v>5</v>
      </c>
      <c r="N18">
        <f t="shared" si="1"/>
        <v>2</v>
      </c>
      <c r="Q18">
        <f>2*6371000*ASIN(
SQRT(
SIN(RADIANS(extra!$O$2-I18)/2)^2+
COS(RADIANS(I18))*COS(RADIANS(extra!$O$2))*
SIN(RADIANS(extra!$P$2-J18)/2)^2
)
)</f>
        <v>182.71971601951702</v>
      </c>
      <c r="R18">
        <f>2*6371000*ASIN(
SQRT(
SIN(RADIANS(extra!$O$7-I18)/2)^2+
COS(RADIANS(I18))*COS(RADIANS(extra!$O$7))*
SIN(RADIANS(extra!$P$7-J18)/2)^2
)
)</f>
        <v>176.96421712747824</v>
      </c>
      <c r="S18">
        <f>2*6371000*ASIN(
SQRT(
SIN(RADIANS(extra!$O$5-I18)/2)^2+
COS(RADIANS(I18))*COS(RADIANS(extra!$O$5))*
SIN(RADIANS(extra!$P$5-J18)/2)^2
)
)</f>
        <v>145.18579859693344</v>
      </c>
      <c r="T18">
        <f>2*6371000*ASIN(
SQRT(
SIN(RADIANS(extra!$O$6-I18)/2)^2+
COS(RADIANS(I18))*COS(RADIANS(extra!$O$6))*
SIN(RADIANS(extra!$P$6-J18)/2)^2
)
)</f>
        <v>254.56475149093373</v>
      </c>
      <c r="U18">
        <f>2*6371000*ASIN(
SQRT(
SIN(RADIANS(extra!$O$3-I18)/2)^2+
COS(RADIANS(I18))*COS(RADIANS(extra!$O$3))*
SIN(RADIANS(extra!$P$3-J18)/2)^2
)
)</f>
        <v>472.09956768065371</v>
      </c>
      <c r="V18">
        <f>2*6371000*ASIN(
SQRT(
SIN(RADIANS(extra!$O$4-I18)/2)^2+
COS(RADIANS(I18))*COS(RADIANS(extra!$O$4))*
SIN(RADIANS(extra!$P$4-J18)/2)^2
)
)</f>
        <v>442.49049140352571</v>
      </c>
      <c r="W18">
        <f t="shared" si="2"/>
        <v>145.18579859693344</v>
      </c>
    </row>
    <row r="19" spans="1:23" x14ac:dyDescent="0.2">
      <c r="A19">
        <v>23</v>
      </c>
      <c r="B19">
        <v>887223446</v>
      </c>
      <c r="C19" t="s">
        <v>69</v>
      </c>
      <c r="D19" s="1" t="s">
        <v>104</v>
      </c>
      <c r="E19" s="1" t="s">
        <v>105</v>
      </c>
      <c r="F19">
        <f t="shared" si="0"/>
        <v>4.2816500663757324</v>
      </c>
      <c r="G19">
        <v>-83</v>
      </c>
      <c r="H19">
        <v>8</v>
      </c>
      <c r="I19">
        <v>44.636412999999997</v>
      </c>
      <c r="J19">
        <v>-63.588469000000003</v>
      </c>
      <c r="K19">
        <v>48</v>
      </c>
      <c r="L19">
        <v>7</v>
      </c>
      <c r="M19">
        <v>6</v>
      </c>
      <c r="N19">
        <f t="shared" si="1"/>
        <v>1</v>
      </c>
      <c r="Q19">
        <f>2*6371000*ASIN(
SQRT(
SIN(RADIANS(extra!$O$2-I19)/2)^2+
COS(RADIANS(I19))*COS(RADIANS(extra!$O$2))*
SIN(RADIANS(extra!$P$2-J19)/2)^2
)
)</f>
        <v>146.69159821108516</v>
      </c>
      <c r="R19">
        <f>2*6371000*ASIN(
SQRT(
SIN(RADIANS(extra!$O$7-I19)/2)^2+
COS(RADIANS(I19))*COS(RADIANS(extra!$O$7))*
SIN(RADIANS(extra!$P$7-J19)/2)^2
)
)</f>
        <v>135.72215726760251</v>
      </c>
      <c r="S19">
        <f>2*6371000*ASIN(
SQRT(
SIN(RADIANS(extra!$O$5-I19)/2)^2+
COS(RADIANS(I19))*COS(RADIANS(extra!$O$5))*
SIN(RADIANS(extra!$P$5-J19)/2)^2
)
)</f>
        <v>86.401392629313662</v>
      </c>
      <c r="T19">
        <f>2*6371000*ASIN(
SQRT(
SIN(RADIANS(extra!$O$6-I19)/2)^2+
COS(RADIANS(I19))*COS(RADIANS(extra!$O$6))*
SIN(RADIANS(extra!$P$6-J19)/2)^2
)
)</f>
        <v>195.23041939354351</v>
      </c>
      <c r="U19">
        <f>2*6371000*ASIN(
SQRT(
SIN(RADIANS(extra!$O$3-I19)/2)^2+
COS(RADIANS(I19))*COS(RADIANS(extra!$O$3))*
SIN(RADIANS(extra!$P$3-J19)/2)^2
)
)</f>
        <v>448.00809508573815</v>
      </c>
      <c r="V19">
        <f>2*6371000*ASIN(
SQRT(
SIN(RADIANS(extra!$O$4-I19)/2)^2+
COS(RADIANS(I19))*COS(RADIANS(extra!$O$4))*
SIN(RADIANS(extra!$P$4-J19)/2)^2
)
)</f>
        <v>398.30809807539237</v>
      </c>
      <c r="W19">
        <f t="shared" si="2"/>
        <v>86.401392629313662</v>
      </c>
    </row>
    <row r="20" spans="1:23" x14ac:dyDescent="0.2">
      <c r="A20">
        <v>24</v>
      </c>
      <c r="B20">
        <v>3152866455</v>
      </c>
      <c r="C20" t="s">
        <v>69</v>
      </c>
      <c r="D20" s="1" t="s">
        <v>106</v>
      </c>
      <c r="E20" s="1" t="s">
        <v>107</v>
      </c>
      <c r="F20">
        <f t="shared" si="0"/>
        <v>7.6958301067352295</v>
      </c>
      <c r="G20">
        <v>-86</v>
      </c>
      <c r="H20">
        <v>7.25</v>
      </c>
      <c r="I20">
        <v>44.636653000000003</v>
      </c>
      <c r="J20">
        <v>-63.588619999999999</v>
      </c>
      <c r="K20">
        <v>49</v>
      </c>
      <c r="L20">
        <v>7</v>
      </c>
      <c r="M20">
        <v>6</v>
      </c>
      <c r="N20">
        <f t="shared" si="1"/>
        <v>1</v>
      </c>
      <c r="Q20">
        <f>2*6371000*ASIN(
SQRT(
SIN(RADIANS(extra!$O$2-I20)/2)^2+
COS(RADIANS(I20))*COS(RADIANS(extra!$O$2))*
SIN(RADIANS(extra!$P$2-J20)/2)^2
)
)</f>
        <v>136.67282880677053</v>
      </c>
      <c r="R20">
        <f>2*6371000*ASIN(
SQRT(
SIN(RADIANS(extra!$O$7-I20)/2)^2+
COS(RADIANS(I20))*COS(RADIANS(extra!$O$7))*
SIN(RADIANS(extra!$P$7-J20)/2)^2
)
)</f>
        <v>122.81070538830035</v>
      </c>
      <c r="S20">
        <f>2*6371000*ASIN(
SQRT(
SIN(RADIANS(extra!$O$5-I20)/2)^2+
COS(RADIANS(I20))*COS(RADIANS(extra!$O$5))*
SIN(RADIANS(extra!$P$5-J20)/2)^2
)
)</f>
        <v>61.038947737575356</v>
      </c>
      <c r="T20">
        <f>2*6371000*ASIN(
SQRT(
SIN(RADIANS(extra!$O$6-I20)/2)^2+
COS(RADIANS(I20))*COS(RADIANS(extra!$O$6))*
SIN(RADIANS(extra!$P$6-J20)/2)^2
)
)</f>
        <v>167.69582645313329</v>
      </c>
      <c r="U20">
        <f>2*6371000*ASIN(
SQRT(
SIN(RADIANS(extra!$O$3-I20)/2)^2+
COS(RADIANS(I20))*COS(RADIANS(extra!$O$3))*
SIN(RADIANS(extra!$P$3-J20)/2)^2
)
)</f>
        <v>438.83043284140018</v>
      </c>
      <c r="V20">
        <f>2*6371000*ASIN(
SQRT(
SIN(RADIANS(extra!$O$4-I20)/2)^2+
COS(RADIANS(I20))*COS(RADIANS(extra!$O$4))*
SIN(RADIANS(extra!$P$4-J20)/2)^2
)
)</f>
        <v>378.85906555591026</v>
      </c>
      <c r="W20">
        <f t="shared" si="2"/>
        <v>61.038947737575356</v>
      </c>
    </row>
    <row r="21" spans="1:23" x14ac:dyDescent="0.2">
      <c r="A21">
        <v>25</v>
      </c>
      <c r="B21">
        <v>1632407704</v>
      </c>
      <c r="C21" t="s">
        <v>69</v>
      </c>
      <c r="D21" s="1" t="s">
        <v>108</v>
      </c>
      <c r="E21">
        <v>1784212658.3803</v>
      </c>
      <c r="F21">
        <f t="shared" si="0"/>
        <v>6.9838700294494629</v>
      </c>
      <c r="G21">
        <v>-86</v>
      </c>
      <c r="H21">
        <v>7.75</v>
      </c>
      <c r="I21">
        <v>44.636989</v>
      </c>
      <c r="J21">
        <v>-63.588751000000002</v>
      </c>
      <c r="K21">
        <v>51</v>
      </c>
      <c r="L21">
        <v>7</v>
      </c>
      <c r="M21">
        <v>6</v>
      </c>
      <c r="N21">
        <f t="shared" si="1"/>
        <v>1</v>
      </c>
      <c r="Q21">
        <f>2*6371000*ASIN(
SQRT(
SIN(RADIANS(extra!$O$2-I21)/2)^2+
COS(RADIANS(I21))*COS(RADIANS(extra!$O$2))*
SIN(RADIANS(extra!$P$2-J21)/2)^2
)
)</f>
        <v>126.66517683727308</v>
      </c>
      <c r="R21">
        <f>2*6371000*ASIN(
SQRT(
SIN(RADIANS(extra!$O$7-I21)/2)^2+
COS(RADIANS(I21))*COS(RADIANS(extra!$O$7))*
SIN(RADIANS(extra!$P$7-J21)/2)^2
)
)</f>
        <v>109.50797535974891</v>
      </c>
      <c r="S21">
        <f>2*6371000*ASIN(
SQRT(
SIN(RADIANS(extra!$O$5-I21)/2)^2+
COS(RADIANS(I21))*COS(RADIANS(extra!$O$5))*
SIN(RADIANS(extra!$P$5-J21)/2)^2
)
)</f>
        <v>32.08852351764088</v>
      </c>
      <c r="T21">
        <f>2*6371000*ASIN(
SQRT(
SIN(RADIANS(extra!$O$6-I21)/2)^2+
COS(RADIANS(I21))*COS(RADIANS(extra!$O$6))*
SIN(RADIANS(extra!$P$6-J21)/2)^2
)
)</f>
        <v>135.46579629030401</v>
      </c>
      <c r="U21">
        <f>2*6371000*ASIN(
SQRT(
SIN(RADIANS(extra!$O$3-I21)/2)^2+
COS(RADIANS(I21))*COS(RADIANS(extra!$O$3))*
SIN(RADIANS(extra!$P$3-J21)/2)^2
)
)</f>
        <v>435.21444465597239</v>
      </c>
      <c r="V21">
        <f>2*6371000*ASIN(
SQRT(
SIN(RADIANS(extra!$O$4-I21)/2)^2+
COS(RADIANS(I21))*COS(RADIANS(extra!$O$4))*
SIN(RADIANS(extra!$P$4-J21)/2)^2
)
)</f>
        <v>360.15005220448666</v>
      </c>
      <c r="W21">
        <f t="shared" si="2"/>
        <v>32.08852351764088</v>
      </c>
    </row>
    <row r="22" spans="1:23" x14ac:dyDescent="0.2">
      <c r="A22">
        <v>26</v>
      </c>
      <c r="B22">
        <v>3334529177</v>
      </c>
      <c r="C22" t="s">
        <v>69</v>
      </c>
      <c r="D22" s="1" t="s">
        <v>109</v>
      </c>
      <c r="E22" s="1" t="s">
        <v>110</v>
      </c>
      <c r="F22">
        <f t="shared" si="0"/>
        <v>2.1308598518371582</v>
      </c>
      <c r="G22">
        <v>-116</v>
      </c>
      <c r="H22">
        <v>-10.25</v>
      </c>
      <c r="I22">
        <v>44.637076</v>
      </c>
      <c r="J22">
        <v>-63.589095999999998</v>
      </c>
      <c r="K22">
        <v>51</v>
      </c>
      <c r="L22">
        <v>7</v>
      </c>
      <c r="M22">
        <v>7</v>
      </c>
      <c r="N22">
        <f t="shared" si="1"/>
        <v>0</v>
      </c>
      <c r="Q22">
        <f>2*6371000*ASIN(
SQRT(
SIN(RADIANS(extra!$O$2-I22)/2)^2+
COS(RADIANS(I22))*COS(RADIANS(extra!$O$2))*
SIN(RADIANS(extra!$P$2-J22)/2)^2
)
)</f>
        <v>149.55249638412877</v>
      </c>
      <c r="R22">
        <f>2*6371000*ASIN(
SQRT(
SIN(RADIANS(extra!$O$7-I22)/2)^2+
COS(RADIANS(I22))*COS(RADIANS(extra!$O$7))*
SIN(RADIANS(extra!$P$7-J22)/2)^2
)
)</f>
        <v>131.35241559470055</v>
      </c>
      <c r="S22">
        <f>2*6371000*ASIN(
SQRT(
SIN(RADIANS(extra!$O$5-I22)/2)^2+
COS(RADIANS(I22))*COS(RADIANS(extra!$O$5))*
SIN(RADIANS(extra!$P$5-J22)/2)^2
)
)</f>
        <v>51.894291674235411</v>
      </c>
      <c r="T22">
        <f>2*6371000*ASIN(
SQRT(
SIN(RADIANS(extra!$O$6-I22)/2)^2+
COS(RADIANS(I22))*COS(RADIANS(extra!$O$6))*
SIN(RADIANS(extra!$P$6-J22)/2)^2
)
)</f>
        <v>108.08201622262713</v>
      </c>
      <c r="U22">
        <f>2*6371000*ASIN(
SQRT(
SIN(RADIANS(extra!$O$3-I22)/2)^2+
COS(RADIANS(I22))*COS(RADIANS(extra!$O$3))*
SIN(RADIANS(extra!$P$3-J22)/2)^2
)
)</f>
        <v>410.9991023683985</v>
      </c>
      <c r="V22">
        <f>2*6371000*ASIN(
SQRT(
SIN(RADIANS(extra!$O$4-I22)/2)^2+
COS(RADIANS(I22))*COS(RADIANS(extra!$O$4))*
SIN(RADIANS(extra!$P$4-J22)/2)^2
)
)</f>
        <v>331.56267514087978</v>
      </c>
      <c r="W22">
        <f t="shared" si="2"/>
        <v>51.894291674235411</v>
      </c>
    </row>
    <row r="23" spans="1:23" x14ac:dyDescent="0.2">
      <c r="A23">
        <v>28</v>
      </c>
      <c r="B23">
        <v>1103081627</v>
      </c>
      <c r="C23" t="s">
        <v>69</v>
      </c>
      <c r="D23" s="1" t="s">
        <v>111</v>
      </c>
      <c r="E23" s="1" t="s">
        <v>112</v>
      </c>
      <c r="F23">
        <f t="shared" si="0"/>
        <v>9.4755299091339111</v>
      </c>
      <c r="G23">
        <v>-85</v>
      </c>
      <c r="H23">
        <v>8</v>
      </c>
      <c r="I23">
        <v>44.636785000000003</v>
      </c>
      <c r="J23">
        <v>-63.589905999999999</v>
      </c>
      <c r="K23">
        <v>49</v>
      </c>
      <c r="L23">
        <v>7</v>
      </c>
      <c r="M23">
        <v>6</v>
      </c>
      <c r="N23">
        <f t="shared" si="1"/>
        <v>1</v>
      </c>
      <c r="Q23">
        <f>2*6371000*ASIN(
SQRT(
SIN(RADIANS(extra!$O$2-I23)/2)^2+
COS(RADIANS(I23))*COS(RADIANS(extra!$O$2))*
SIN(RADIANS(extra!$P$2-J23)/2)^2
)
)</f>
        <v>220.27506807776328</v>
      </c>
      <c r="R23">
        <f>2*6371000*ASIN(
SQRT(
SIN(RADIANS(extra!$O$7-I23)/2)^2+
COS(RADIANS(I23))*COS(RADIANS(extra!$O$7))*
SIN(RADIANS(extra!$P$7-J23)/2)^2
)
)</f>
        <v>202.49593592114766</v>
      </c>
      <c r="S23">
        <f>2*6371000*ASIN(
SQRT(
SIN(RADIANS(extra!$O$5-I23)/2)^2+
COS(RADIANS(I23))*COS(RADIANS(extra!$O$5))*
SIN(RADIANS(extra!$P$5-J23)/2)^2
)
)</f>
        <v>122.95615992117706</v>
      </c>
      <c r="T23">
        <f>2*6371000*ASIN(
SQRT(
SIN(RADIANS(extra!$O$6-I23)/2)^2+
COS(RADIANS(I23))*COS(RADIANS(extra!$O$6))*
SIN(RADIANS(extra!$P$6-J23)/2)^2
)
)</f>
        <v>104.57694191588507</v>
      </c>
      <c r="U23">
        <f>2*6371000*ASIN(
SQRT(
SIN(RADIANS(extra!$O$3-I23)/2)^2+
COS(RADIANS(I23))*COS(RADIANS(extra!$O$3))*
SIN(RADIANS(extra!$P$3-J23)/2)^2
)
)</f>
        <v>341.08228978588852</v>
      </c>
      <c r="V23">
        <f>2*6371000*ASIN(
SQRT(
SIN(RADIANS(extra!$O$4-I23)/2)^2+
COS(RADIANS(I23))*COS(RADIANS(extra!$O$4))*
SIN(RADIANS(extra!$P$4-J23)/2)^2
)
)</f>
        <v>277.33470381237959</v>
      </c>
      <c r="W23">
        <f t="shared" si="2"/>
        <v>104.57694191588507</v>
      </c>
    </row>
    <row r="24" spans="1:23" x14ac:dyDescent="0.2">
      <c r="A24">
        <v>29</v>
      </c>
      <c r="B24">
        <v>3145167004</v>
      </c>
      <c r="C24" t="s">
        <v>69</v>
      </c>
      <c r="D24" s="1" t="s">
        <v>113</v>
      </c>
      <c r="E24" s="1" t="s">
        <v>114</v>
      </c>
      <c r="F24">
        <f t="shared" si="0"/>
        <v>4.2533600330352783</v>
      </c>
      <c r="G24">
        <v>-86</v>
      </c>
      <c r="H24">
        <v>7.75</v>
      </c>
      <c r="I24">
        <v>44.636721000000001</v>
      </c>
      <c r="J24">
        <v>-63.590263</v>
      </c>
      <c r="K24">
        <v>50</v>
      </c>
      <c r="L24">
        <v>7</v>
      </c>
      <c r="M24">
        <v>6</v>
      </c>
      <c r="N24">
        <f t="shared" si="1"/>
        <v>1</v>
      </c>
      <c r="Q24">
        <f>2*6371000*ASIN(
SQRT(
SIN(RADIANS(extra!$O$2-I24)/2)^2+
COS(RADIANS(I24))*COS(RADIANS(extra!$O$2))*
SIN(RADIANS(extra!$P$2-J24)/2)^2
)
)</f>
        <v>249.3256845442495</v>
      </c>
      <c r="R24">
        <f>2*6371000*ASIN(
SQRT(
SIN(RADIANS(extra!$O$7-I24)/2)^2+
COS(RADIANS(I24))*COS(RADIANS(extra!$O$7))*
SIN(RADIANS(extra!$P$7-J24)/2)^2
)
)</f>
        <v>231.46517959351073</v>
      </c>
      <c r="S24">
        <f>2*6371000*ASIN(
SQRT(
SIN(RADIANS(extra!$O$5-I24)/2)^2+
COS(RADIANS(I24))*COS(RADIANS(extra!$O$5))*
SIN(RADIANS(extra!$P$5-J24)/2)^2
)
)</f>
        <v>151.89255961479088</v>
      </c>
      <c r="T24">
        <f>2*6371000*ASIN(
SQRT(
SIN(RADIANS(extra!$O$6-I24)/2)^2+
COS(RADIANS(I24))*COS(RADIANS(extra!$O$6))*
SIN(RADIANS(extra!$P$6-J24)/2)^2
)
)</f>
        <v>110.70306274462978</v>
      </c>
      <c r="U24">
        <f>2*6371000*ASIN(
SQRT(
SIN(RADIANS(extra!$O$3-I24)/2)^2+
COS(RADIANS(I24))*COS(RADIANS(extra!$O$3))*
SIN(RADIANS(extra!$P$3-J24)/2)^2
)
)</f>
        <v>311.96811018245126</v>
      </c>
      <c r="V24">
        <f>2*6371000*ASIN(
SQRT(
SIN(RADIANS(extra!$O$4-I24)/2)^2+
COS(RADIANS(I24))*COS(RADIANS(extra!$O$4))*
SIN(RADIANS(extra!$P$4-J24)/2)^2
)
)</f>
        <v>253.38555520747605</v>
      </c>
      <c r="W24">
        <f t="shared" si="2"/>
        <v>110.70306274462978</v>
      </c>
    </row>
    <row r="25" spans="1:23" x14ac:dyDescent="0.2">
      <c r="A25">
        <v>31</v>
      </c>
      <c r="B25">
        <v>1149179038</v>
      </c>
      <c r="C25" t="s">
        <v>69</v>
      </c>
      <c r="D25" s="1" t="s">
        <v>115</v>
      </c>
      <c r="E25" s="1" t="s">
        <v>116</v>
      </c>
      <c r="F25">
        <f t="shared" si="0"/>
        <v>6.7750799655914307</v>
      </c>
      <c r="G25">
        <v>-90</v>
      </c>
      <c r="H25">
        <v>8</v>
      </c>
      <c r="I25">
        <v>44.636431999999999</v>
      </c>
      <c r="J25">
        <v>-63.590828999999999</v>
      </c>
      <c r="K25">
        <v>50</v>
      </c>
      <c r="L25">
        <v>7</v>
      </c>
      <c r="M25">
        <v>6</v>
      </c>
      <c r="N25">
        <f t="shared" si="1"/>
        <v>1</v>
      </c>
      <c r="Q25">
        <f>2*6371000*ASIN(
SQRT(
SIN(RADIANS(extra!$O$2-I25)/2)^2+
COS(RADIANS(I25))*COS(RADIANS(extra!$O$2))*
SIN(RADIANS(extra!$P$2-J25)/2)^2
)
)</f>
        <v>302.33796735245949</v>
      </c>
      <c r="R25">
        <f>2*6371000*ASIN(
SQRT(
SIN(RADIANS(extra!$O$7-I25)/2)^2+
COS(RADIANS(I25))*COS(RADIANS(extra!$O$7))*
SIN(RADIANS(extra!$P$7-J25)/2)^2
)
)</f>
        <v>284.87897651642038</v>
      </c>
      <c r="S25">
        <f>2*6371000*ASIN(
SQRT(
SIN(RADIANS(extra!$O$5-I25)/2)^2+
COS(RADIANS(I25))*COS(RADIANS(extra!$O$5))*
SIN(RADIANS(extra!$P$5-J25)/2)^2
)
)</f>
        <v>205.52174140962123</v>
      </c>
      <c r="T25">
        <f>2*6371000*ASIN(
SQRT(
SIN(RADIANS(extra!$O$6-I25)/2)^2+
COS(RADIANS(I25))*COS(RADIANS(extra!$O$6))*
SIN(RADIANS(extra!$P$6-J25)/2)^2
)
)</f>
        <v>152.72629118229182</v>
      </c>
      <c r="U25">
        <f>2*6371000*ASIN(
SQRT(
SIN(RADIANS(extra!$O$3-I25)/2)^2+
COS(RADIANS(I25))*COS(RADIANS(extra!$O$3))*
SIN(RADIANS(extra!$P$3-J25)/2)^2
)
)</f>
        <v>262.33303870478517</v>
      </c>
      <c r="V25">
        <f>2*6371000*ASIN(
SQRT(
SIN(RADIANS(extra!$O$4-I25)/2)^2+
COS(RADIANS(I25))*COS(RADIANS(extra!$O$4))*
SIN(RADIANS(extra!$P$4-J25)/2)^2
)
)</f>
        <v>229.04536355489444</v>
      </c>
      <c r="W25">
        <f t="shared" si="2"/>
        <v>152.72629118229182</v>
      </c>
    </row>
    <row r="26" spans="1:23" x14ac:dyDescent="0.2">
      <c r="A26">
        <v>32</v>
      </c>
      <c r="B26">
        <v>3205685407</v>
      </c>
      <c r="C26" t="s">
        <v>69</v>
      </c>
      <c r="D26" s="1" t="s">
        <v>117</v>
      </c>
      <c r="E26" s="1" t="s">
        <v>118</v>
      </c>
      <c r="F26">
        <f t="shared" si="0"/>
        <v>4.3078000545501709</v>
      </c>
      <c r="G26">
        <v>-86</v>
      </c>
      <c r="H26">
        <v>6.5</v>
      </c>
      <c r="I26">
        <v>44.636200000000002</v>
      </c>
      <c r="J26">
        <v>-63.591096999999998</v>
      </c>
      <c r="K26">
        <v>50</v>
      </c>
      <c r="L26">
        <v>7</v>
      </c>
      <c r="M26">
        <v>6</v>
      </c>
      <c r="N26">
        <f t="shared" si="1"/>
        <v>1</v>
      </c>
      <c r="Q26">
        <f>2*6371000*ASIN(
SQRT(
SIN(RADIANS(extra!$O$2-I26)/2)^2+
COS(RADIANS(I26))*COS(RADIANS(extra!$O$2))*
SIN(RADIANS(extra!$P$2-J26)/2)^2
)
)</f>
        <v>331.85823301216874</v>
      </c>
      <c r="R26">
        <f>2*6371000*ASIN(
SQRT(
SIN(RADIANS(extra!$O$7-I26)/2)^2+
COS(RADIANS(I26))*COS(RADIANS(extra!$O$7))*
SIN(RADIANS(extra!$P$7-J26)/2)^2
)
)</f>
        <v>314.81061286132172</v>
      </c>
      <c r="S26">
        <f>2*6371000*ASIN(
SQRT(
SIN(RADIANS(extra!$O$5-I26)/2)^2+
COS(RADIANS(I26))*COS(RADIANS(extra!$O$5))*
SIN(RADIANS(extra!$P$5-J26)/2)^2
)
)</f>
        <v>235.90826567760209</v>
      </c>
      <c r="T26">
        <f>2*6371000*ASIN(
SQRT(
SIN(RADIANS(extra!$O$6-I26)/2)^2+
COS(RADIANS(I26))*COS(RADIANS(extra!$O$6))*
SIN(RADIANS(extra!$P$6-J26)/2)^2
)
)</f>
        <v>184.75073430159932</v>
      </c>
      <c r="U26">
        <f>2*6371000*ASIN(
SQRT(
SIN(RADIANS(extra!$O$3-I26)/2)^2+
COS(RADIANS(I26))*COS(RADIANS(extra!$O$3))*
SIN(RADIANS(extra!$P$3-J26)/2)^2
)
)</f>
        <v>239.08603325625646</v>
      </c>
      <c r="V26">
        <f>2*6371000*ASIN(
SQRT(
SIN(RADIANS(extra!$O$4-I26)/2)^2+
COS(RADIANS(I26))*COS(RADIANS(extra!$O$4))*
SIN(RADIANS(extra!$P$4-J26)/2)^2
)
)</f>
        <v>228.42523155822147</v>
      </c>
      <c r="W26">
        <f t="shared" si="2"/>
        <v>184.75073430159932</v>
      </c>
    </row>
    <row r="27" spans="1:23" x14ac:dyDescent="0.2">
      <c r="A27">
        <v>33</v>
      </c>
      <c r="B27">
        <v>2826881184</v>
      </c>
      <c r="C27" t="s">
        <v>69</v>
      </c>
      <c r="D27" s="1" t="s">
        <v>119</v>
      </c>
      <c r="E27" s="1" t="s">
        <v>120</v>
      </c>
      <c r="F27">
        <f t="shared" si="0"/>
        <v>8.0320501327514648</v>
      </c>
      <c r="G27">
        <v>-84</v>
      </c>
      <c r="H27">
        <v>8.25</v>
      </c>
      <c r="I27">
        <v>44.636093000000002</v>
      </c>
      <c r="J27">
        <v>-63.591473000000001</v>
      </c>
      <c r="K27">
        <v>50</v>
      </c>
      <c r="L27">
        <v>7</v>
      </c>
      <c r="M27">
        <v>5</v>
      </c>
      <c r="N27">
        <f t="shared" si="1"/>
        <v>2</v>
      </c>
      <c r="Q27">
        <f>2*6371000*ASIN(
SQRT(
SIN(RADIANS(extra!$O$2-I27)/2)^2+
COS(RADIANS(I27))*COS(RADIANS(extra!$O$2))*
SIN(RADIANS(extra!$P$2-J27)/2)^2
)
)</f>
        <v>363.8765453377697</v>
      </c>
      <c r="R27">
        <f>2*6371000*ASIN(
SQRT(
SIN(RADIANS(extra!$O$7-I27)/2)^2+
COS(RADIANS(I27))*COS(RADIANS(extra!$O$7))*
SIN(RADIANS(extra!$P$7-J27)/2)^2
)
)</f>
        <v>346.78690279880766</v>
      </c>
      <c r="S27">
        <f>2*6371000*ASIN(
SQRT(
SIN(RADIANS(extra!$O$5-I27)/2)^2+
COS(RADIANS(I27))*COS(RADIANS(extra!$O$5))*
SIN(RADIANS(extra!$P$5-J27)/2)^2
)
)</f>
        <v>267.79432050915608</v>
      </c>
      <c r="T27">
        <f>2*6371000*ASIN(
SQRT(
SIN(RADIANS(extra!$O$6-I27)/2)^2+
COS(RADIANS(I27))*COS(RADIANS(extra!$O$6))*
SIN(RADIANS(extra!$P$6-J27)/2)^2
)
)</f>
        <v>209.08714750394273</v>
      </c>
      <c r="U27">
        <f>2*6371000*ASIN(
SQRT(
SIN(RADIANS(extra!$O$3-I27)/2)^2+
COS(RADIANS(I27))*COS(RADIANS(extra!$O$3))*
SIN(RADIANS(extra!$P$3-J27)/2)^2
)
)</f>
        <v>209.24336766188864</v>
      </c>
      <c r="V27">
        <f>2*6371000*ASIN(
SQRT(
SIN(RADIANS(extra!$O$4-I27)/2)^2+
COS(RADIANS(I27))*COS(RADIANS(extra!$O$4))*
SIN(RADIANS(extra!$P$4-J27)/2)^2
)
)</f>
        <v>216.48624983372943</v>
      </c>
      <c r="W27">
        <f t="shared" si="2"/>
        <v>209.08714750394273</v>
      </c>
    </row>
    <row r="28" spans="1:23" x14ac:dyDescent="0.2">
      <c r="A28">
        <v>35</v>
      </c>
      <c r="B28">
        <v>991729826</v>
      </c>
      <c r="C28" t="s">
        <v>69</v>
      </c>
      <c r="D28" s="1" t="s">
        <v>121</v>
      </c>
      <c r="E28" s="1" t="s">
        <v>122</v>
      </c>
      <c r="F28">
        <f t="shared" si="0"/>
        <v>6.0901198387145996</v>
      </c>
      <c r="G28">
        <v>-85</v>
      </c>
      <c r="H28">
        <v>7.75</v>
      </c>
      <c r="I28">
        <v>44.635922999999998</v>
      </c>
      <c r="J28">
        <v>-63.592278999999998</v>
      </c>
      <c r="K28">
        <v>50</v>
      </c>
      <c r="L28">
        <v>7</v>
      </c>
      <c r="M28">
        <v>5</v>
      </c>
      <c r="N28">
        <f t="shared" si="1"/>
        <v>2</v>
      </c>
      <c r="Q28">
        <f>2*6371000*ASIN(
SQRT(
SIN(RADIANS(extra!$O$2-I28)/2)^2+
COS(RADIANS(I28))*COS(RADIANS(extra!$O$2))*
SIN(RADIANS(extra!$P$2-J28)/2)^2
)
)</f>
        <v>429.9278458564138</v>
      </c>
      <c r="R28">
        <f>2*6371000*ASIN(
SQRT(
SIN(RADIANS(extra!$O$7-I28)/2)^2+
COS(RADIANS(I28))*COS(RADIANS(extra!$O$7))*
SIN(RADIANS(extra!$P$7-J28)/2)^2
)
)</f>
        <v>412.65007516826853</v>
      </c>
      <c r="S28">
        <f>2*6371000*ASIN(
SQRT(
SIN(RADIANS(extra!$O$5-I28)/2)^2+
COS(RADIANS(I28))*COS(RADIANS(extra!$O$5))*
SIN(RADIANS(extra!$P$5-J28)/2)^2
)
)</f>
        <v>333.40278428920192</v>
      </c>
      <c r="T28">
        <f>2*6371000*ASIN(
SQRT(
SIN(RADIANS(extra!$O$6-I28)/2)^2+
COS(RADIANS(I28))*COS(RADIANS(extra!$O$6))*
SIN(RADIANS(extra!$P$6-J28)/2)^2
)
)</f>
        <v>261.74707067135444</v>
      </c>
      <c r="U28">
        <f>2*6371000*ASIN(
SQRT(
SIN(RADIANS(extra!$O$3-I28)/2)^2+
COS(RADIANS(I28))*COS(RADIANS(extra!$O$3))*
SIN(RADIANS(extra!$P$3-J28)/2)^2
)
)</f>
        <v>147.22384101311403</v>
      </c>
      <c r="V28">
        <f>2*6371000*ASIN(
SQRT(
SIN(RADIANS(extra!$O$4-I28)/2)^2+
COS(RADIANS(I28))*COS(RADIANS(extra!$O$4))*
SIN(RADIANS(extra!$P$4-J28)/2)^2
)
)</f>
        <v>199.77151758993961</v>
      </c>
      <c r="W28">
        <f t="shared" si="2"/>
        <v>147.22384101311403</v>
      </c>
    </row>
    <row r="29" spans="1:23" x14ac:dyDescent="0.2">
      <c r="A29">
        <v>36</v>
      </c>
      <c r="B29">
        <v>1403428003</v>
      </c>
      <c r="C29" t="s">
        <v>69</v>
      </c>
      <c r="D29" s="1" t="s">
        <v>123</v>
      </c>
      <c r="E29" s="1" t="s">
        <v>124</v>
      </c>
      <c r="F29">
        <f t="shared" si="0"/>
        <v>11.535619974136353</v>
      </c>
      <c r="G29">
        <v>-86</v>
      </c>
      <c r="H29">
        <v>7.5</v>
      </c>
      <c r="I29">
        <v>44.635890000000003</v>
      </c>
      <c r="J29">
        <v>-63.592697999999999</v>
      </c>
      <c r="K29">
        <v>51</v>
      </c>
      <c r="L29">
        <v>7</v>
      </c>
      <c r="M29">
        <v>5</v>
      </c>
      <c r="N29">
        <f t="shared" si="1"/>
        <v>2</v>
      </c>
      <c r="Q29">
        <f>2*6371000*ASIN(
SQRT(
SIN(RADIANS(extra!$O$2-I29)/2)^2+
COS(RADIANS(I29))*COS(RADIANS(extra!$O$2))*
SIN(RADIANS(extra!$P$2-J29)/2)^2
)
)</f>
        <v>462.01739497448295</v>
      </c>
      <c r="R29">
        <f>2*6371000*ASIN(
SQRT(
SIN(RADIANS(extra!$O$7-I29)/2)^2+
COS(RADIANS(I29))*COS(RADIANS(extra!$O$7))*
SIN(RADIANS(extra!$P$7-J29)/2)^2
)
)</f>
        <v>444.56528062900674</v>
      </c>
      <c r="S29">
        <f>2*6371000*ASIN(
SQRT(
SIN(RADIANS(extra!$O$5-I29)/2)^2+
COS(RADIANS(I29))*COS(RADIANS(extra!$O$5))*
SIN(RADIANS(extra!$P$5-J29)/2)^2
)
)</f>
        <v>365.15732663422676</v>
      </c>
      <c r="T29">
        <f>2*6371000*ASIN(
SQRT(
SIN(RADIANS(extra!$O$6-I29)/2)^2+
COS(RADIANS(I29))*COS(RADIANS(extra!$O$6))*
SIN(RADIANS(extra!$P$6-J29)/2)^2
)
)</f>
        <v>286.99062427434097</v>
      </c>
      <c r="U29">
        <f>2*6371000*ASIN(
SQRT(
SIN(RADIANS(extra!$O$3-I29)/2)^2+
COS(RADIANS(I29))*COS(RADIANS(extra!$O$3))*
SIN(RADIANS(extra!$P$3-J29)/2)^2
)
)</f>
        <v>115.38010019988579</v>
      </c>
      <c r="V29">
        <f>2*6371000*ASIN(
SQRT(
SIN(RADIANS(extra!$O$4-I29)/2)^2+
COS(RADIANS(I29))*COS(RADIANS(extra!$O$4))*
SIN(RADIANS(extra!$P$4-J29)/2)^2
)
)</f>
        <v>193.45019254297623</v>
      </c>
      <c r="W29">
        <f t="shared" si="2"/>
        <v>115.38010019988579</v>
      </c>
    </row>
    <row r="30" spans="1:23" x14ac:dyDescent="0.2">
      <c r="A30">
        <v>38</v>
      </c>
      <c r="B30">
        <v>2423967909</v>
      </c>
      <c r="C30" t="s">
        <v>69</v>
      </c>
      <c r="D30" s="1" t="s">
        <v>125</v>
      </c>
      <c r="E30" s="1" t="s">
        <v>126</v>
      </c>
      <c r="F30">
        <f t="shared" si="0"/>
        <v>8.7825500965118408</v>
      </c>
      <c r="G30">
        <v>-86</v>
      </c>
      <c r="H30">
        <v>8.25</v>
      </c>
      <c r="I30">
        <v>44.635435000000001</v>
      </c>
      <c r="J30">
        <v>-63.593122999999999</v>
      </c>
      <c r="K30">
        <v>50</v>
      </c>
      <c r="L30">
        <v>7</v>
      </c>
      <c r="M30">
        <v>4</v>
      </c>
      <c r="N30">
        <f t="shared" si="1"/>
        <v>3</v>
      </c>
      <c r="Q30">
        <f>2*6371000*ASIN(
SQRT(
SIN(RADIANS(extra!$O$2-I30)/2)^2+
COS(RADIANS(I30))*COS(RADIANS(extra!$O$2))*
SIN(RADIANS(extra!$P$2-J30)/2)^2
)
)</f>
        <v>513.06943868434837</v>
      </c>
      <c r="R30">
        <f>2*6371000*ASIN(
SQRT(
SIN(RADIANS(extra!$O$7-I30)/2)^2+
COS(RADIANS(I30))*COS(RADIANS(extra!$O$7))*
SIN(RADIANS(extra!$P$7-J30)/2)^2
)
)</f>
        <v>496.1948080503692</v>
      </c>
      <c r="S30">
        <f>2*6371000*ASIN(
SQRT(
SIN(RADIANS(extra!$O$5-I30)/2)^2+
COS(RADIANS(I30))*COS(RADIANS(extra!$O$5))*
SIN(RADIANS(extra!$P$5-J30)/2)^2
)
)</f>
        <v>417.38588448543129</v>
      </c>
      <c r="T30">
        <f>2*6371000*ASIN(
SQRT(
SIN(RADIANS(extra!$O$6-I30)/2)^2+
COS(RADIANS(I30))*COS(RADIANS(extra!$O$6))*
SIN(RADIANS(extra!$P$6-J30)/2)^2
)
)</f>
        <v>346.73574080976385</v>
      </c>
      <c r="U30">
        <f>2*6371000*ASIN(
SQRT(
SIN(RADIANS(extra!$O$3-I30)/2)^2+
COS(RADIANS(I30))*COS(RADIANS(extra!$O$3))*
SIN(RADIANS(extra!$P$3-J30)/2)^2
)
)</f>
        <v>110.1859575583656</v>
      </c>
      <c r="V30">
        <f>2*6371000*ASIN(
SQRT(
SIN(RADIANS(extra!$O$4-I30)/2)^2+
COS(RADIANS(I30))*COS(RADIANS(extra!$O$4))*
SIN(RADIANS(extra!$P$4-J30)/2)^2
)
)</f>
        <v>239.64715561238813</v>
      </c>
      <c r="W30">
        <f t="shared" si="2"/>
        <v>110.1859575583656</v>
      </c>
    </row>
    <row r="31" spans="1:23" x14ac:dyDescent="0.2">
      <c r="A31">
        <v>39</v>
      </c>
      <c r="B31">
        <v>372538534</v>
      </c>
      <c r="C31" t="s">
        <v>69</v>
      </c>
      <c r="D31" s="1" t="s">
        <v>127</v>
      </c>
      <c r="E31" s="1" t="s">
        <v>128</v>
      </c>
      <c r="F31">
        <f t="shared" si="0"/>
        <v>10.722690105438232</v>
      </c>
      <c r="G31">
        <v>-89</v>
      </c>
      <c r="H31">
        <v>9</v>
      </c>
      <c r="I31">
        <v>44.635232999999999</v>
      </c>
      <c r="J31">
        <v>-63.593425000000003</v>
      </c>
      <c r="K31">
        <v>48</v>
      </c>
      <c r="L31">
        <v>7</v>
      </c>
      <c r="M31">
        <v>4</v>
      </c>
      <c r="N31">
        <f t="shared" si="1"/>
        <v>3</v>
      </c>
      <c r="Q31">
        <f>2*6371000*ASIN(
SQRT(
SIN(RADIANS(extra!$O$2-I31)/2)^2+
COS(RADIANS(I31))*COS(RADIANS(extra!$O$2))*
SIN(RADIANS(extra!$P$2-J31)/2)^2
)
)</f>
        <v>544.39156967060603</v>
      </c>
      <c r="R31">
        <f>2*6371000*ASIN(
SQRT(
SIN(RADIANS(extra!$O$7-I31)/2)^2+
COS(RADIANS(I31))*COS(RADIANS(extra!$O$7))*
SIN(RADIANS(extra!$P$7-J31)/2)^2
)
)</f>
        <v>527.68458246670104</v>
      </c>
      <c r="S31">
        <f>2*6371000*ASIN(
SQRT(
SIN(RADIANS(extra!$O$5-I31)/2)^2+
COS(RADIANS(I31))*COS(RADIANS(extra!$O$5))*
SIN(RADIANS(extra!$P$5-J31)/2)^2
)
)</f>
        <v>449.09503393075784</v>
      </c>
      <c r="T31">
        <f>2*6371000*ASIN(
SQRT(
SIN(RADIANS(extra!$O$6-I31)/2)^2+
COS(RADIANS(I31))*COS(RADIANS(extra!$O$6))*
SIN(RADIANS(extra!$P$6-J31)/2)^2
)
)</f>
        <v>379.46926981662381</v>
      </c>
      <c r="U31">
        <f>2*6371000*ASIN(
SQRT(
SIN(RADIANS(extra!$O$3-I31)/2)^2+
COS(RADIANS(I31))*COS(RADIANS(extra!$O$3))*
SIN(RADIANS(extra!$P$3-J31)/2)^2
)
)</f>
        <v>113.68520610296713</v>
      </c>
      <c r="V31">
        <f>2*6371000*ASIN(
SQRT(
SIN(RADIANS(extra!$O$4-I31)/2)^2+
COS(RADIANS(I31))*COS(RADIANS(extra!$O$4))*
SIN(RADIANS(extra!$P$4-J31)/2)^2
)
)</f>
        <v>262.45754944219806</v>
      </c>
      <c r="W31">
        <f t="shared" si="2"/>
        <v>113.68520610296713</v>
      </c>
    </row>
    <row r="32" spans="1:23" x14ac:dyDescent="0.2">
      <c r="A32">
        <v>40</v>
      </c>
      <c r="B32">
        <v>3271978151</v>
      </c>
      <c r="C32" t="s">
        <v>69</v>
      </c>
      <c r="D32" s="1" t="s">
        <v>129</v>
      </c>
      <c r="E32" s="1" t="s">
        <v>130</v>
      </c>
      <c r="F32">
        <f t="shared" si="0"/>
        <v>9.2752299308776855</v>
      </c>
      <c r="G32">
        <v>-90</v>
      </c>
      <c r="H32">
        <v>8</v>
      </c>
      <c r="I32">
        <v>44.635108000000002</v>
      </c>
      <c r="J32">
        <v>-63.593803000000001</v>
      </c>
      <c r="K32">
        <v>46</v>
      </c>
      <c r="L32">
        <v>7</v>
      </c>
      <c r="M32">
        <v>4</v>
      </c>
      <c r="N32">
        <f t="shared" si="1"/>
        <v>3</v>
      </c>
      <c r="Q32">
        <f>2*6371000*ASIN(
SQRT(
SIN(RADIANS(extra!$O$2-I32)/2)^2+
COS(RADIANS(I32))*COS(RADIANS(extra!$O$2))*
SIN(RADIANS(extra!$P$2-J32)/2)^2
)
)</f>
        <v>577.36108449278709</v>
      </c>
      <c r="R32">
        <f>2*6371000*ASIN(
SQRT(
SIN(RADIANS(extra!$O$7-I32)/2)^2+
COS(RADIANS(I32))*COS(RADIANS(extra!$O$7))*
SIN(RADIANS(extra!$P$7-J32)/2)^2
)
)</f>
        <v>560.63433361325031</v>
      </c>
      <c r="S32">
        <f>2*6371000*ASIN(
SQRT(
SIN(RADIANS(extra!$O$5-I32)/2)^2+
COS(RADIANS(I32))*COS(RADIANS(extra!$O$5))*
SIN(RADIANS(extra!$P$5-J32)/2)^2
)
)</f>
        <v>481.99932220390292</v>
      </c>
      <c r="T32">
        <f>2*6371000*ASIN(
SQRT(
SIN(RADIANS(extra!$O$6-I32)/2)^2+
COS(RADIANS(I32))*COS(RADIANS(extra!$O$6))*
SIN(RADIANS(extra!$P$6-J32)/2)^2
)
)</f>
        <v>410.30189081415818</v>
      </c>
      <c r="U32">
        <f>2*6371000*ASIN(
SQRT(
SIN(RADIANS(extra!$O$3-I32)/2)^2+
COS(RADIANS(I32))*COS(RADIANS(extra!$O$3))*
SIN(RADIANS(extra!$P$3-J32)/2)^2
)
)</f>
        <v>116.21684031128693</v>
      </c>
      <c r="V32">
        <f>2*6371000*ASIN(
SQRT(
SIN(RADIANS(extra!$O$4-I32)/2)^2+
COS(RADIANS(I32))*COS(RADIANS(extra!$O$4))*
SIN(RADIANS(extra!$P$4-J32)/2)^2
)
)</f>
        <v>279.6526803456585</v>
      </c>
      <c r="W32">
        <f t="shared" si="2"/>
        <v>116.21684031128693</v>
      </c>
    </row>
    <row r="33" spans="1:23" x14ac:dyDescent="0.2">
      <c r="A33">
        <v>42</v>
      </c>
      <c r="B33">
        <v>2287407273</v>
      </c>
      <c r="C33" t="s">
        <v>69</v>
      </c>
      <c r="D33" s="1" t="s">
        <v>131</v>
      </c>
      <c r="E33" s="1" t="s">
        <v>132</v>
      </c>
      <c r="F33">
        <f t="shared" si="0"/>
        <v>11.458189964294434</v>
      </c>
      <c r="G33">
        <v>-90</v>
      </c>
      <c r="H33">
        <v>8.25</v>
      </c>
      <c r="I33">
        <v>44.635280000000002</v>
      </c>
      <c r="J33">
        <v>-63.594574999999999</v>
      </c>
      <c r="K33">
        <v>44</v>
      </c>
      <c r="L33">
        <v>7</v>
      </c>
      <c r="M33">
        <v>4</v>
      </c>
      <c r="N33">
        <f t="shared" si="1"/>
        <v>3</v>
      </c>
      <c r="Q33">
        <f>2*6371000*ASIN(
SQRT(
SIN(RADIANS(extra!$O$2-I33)/2)^2+
COS(RADIANS(I33))*COS(RADIANS(extra!$O$2))*
SIN(RADIANS(extra!$P$2-J33)/2)^2
)
)</f>
        <v>625.1294817758544</v>
      </c>
      <c r="R33">
        <f>2*6371000*ASIN(
SQRT(
SIN(RADIANS(extra!$O$7-I33)/2)^2+
COS(RADIANS(I33))*COS(RADIANS(extra!$O$7))*
SIN(RADIANS(extra!$P$7-J33)/2)^2
)
)</f>
        <v>607.76879504202941</v>
      </c>
      <c r="S33">
        <f>2*6371000*ASIN(
SQRT(
SIN(RADIANS(extra!$O$5-I33)/2)^2+
COS(RADIANS(I33))*COS(RADIANS(extra!$O$5))*
SIN(RADIANS(extra!$P$5-J33)/2)^2
)
)</f>
        <v>528.40540293931565</v>
      </c>
      <c r="T33">
        <f>2*6371000*ASIN(
SQRT(
SIN(RADIANS(extra!$O$6-I33)/2)^2+
COS(RADIANS(I33))*COS(RADIANS(extra!$O$6))*
SIN(RADIANS(extra!$P$6-J33)/2)^2
)
)</f>
        <v>443.71494568999367</v>
      </c>
      <c r="U33">
        <f>2*6371000*ASIN(
SQRT(
SIN(RADIANS(extra!$O$3-I33)/2)^2+
COS(RADIANS(I33))*COS(RADIANS(extra!$O$3))*
SIN(RADIANS(extra!$P$3-J33)/2)^2
)
)</f>
        <v>101.12117471567765</v>
      </c>
      <c r="V33">
        <f>2*6371000*ASIN(
SQRT(
SIN(RADIANS(extra!$O$4-I33)/2)^2+
COS(RADIANS(I33))*COS(RADIANS(extra!$O$4))*
SIN(RADIANS(extra!$P$4-J33)/2)^2
)
)</f>
        <v>278.11322405682216</v>
      </c>
      <c r="W33">
        <f t="shared" si="2"/>
        <v>101.12117471567765</v>
      </c>
    </row>
    <row r="34" spans="1:23" x14ac:dyDescent="0.2">
      <c r="A34">
        <v>45</v>
      </c>
      <c r="B34">
        <v>2561166508</v>
      </c>
      <c r="C34" t="s">
        <v>69</v>
      </c>
      <c r="D34" s="1" t="s">
        <v>133</v>
      </c>
      <c r="E34" s="1" t="s">
        <v>134</v>
      </c>
      <c r="F34">
        <f t="shared" si="0"/>
        <v>8.3998498916625977</v>
      </c>
      <c r="G34">
        <v>-89</v>
      </c>
      <c r="H34">
        <v>8</v>
      </c>
      <c r="I34">
        <v>44.635894</v>
      </c>
      <c r="J34">
        <v>-63.595218000000003</v>
      </c>
      <c r="K34">
        <v>44</v>
      </c>
      <c r="L34">
        <v>7</v>
      </c>
      <c r="M34">
        <v>4</v>
      </c>
      <c r="N34">
        <f t="shared" si="1"/>
        <v>3</v>
      </c>
      <c r="Q34">
        <f>2*6371000*ASIN(
SQRT(
SIN(RADIANS(extra!$O$2-I34)/2)^2+
COS(RADIANS(I34))*COS(RADIANS(extra!$O$2))*
SIN(RADIANS(extra!$P$2-J34)/2)^2
)
)</f>
        <v>651.46010140028454</v>
      </c>
      <c r="R34">
        <f>2*6371000*ASIN(
SQRT(
SIN(RADIANS(extra!$O$7-I34)/2)^2+
COS(RADIANS(I34))*COS(RADIANS(extra!$O$7))*
SIN(RADIANS(extra!$P$7-J34)/2)^2
)
)</f>
        <v>633.19971600072995</v>
      </c>
      <c r="S34">
        <f>2*6371000*ASIN(
SQRT(
SIN(RADIANS(extra!$O$5-I34)/2)^2+
COS(RADIANS(I34))*COS(RADIANS(extra!$O$5))*
SIN(RADIANS(extra!$P$5-J34)/2)^2
)
)</f>
        <v>553.79765791289014</v>
      </c>
      <c r="T34">
        <f>2*6371000*ASIN(
SQRT(
SIN(RADIANS(extra!$O$6-I34)/2)^2+
COS(RADIANS(I34))*COS(RADIANS(extra!$O$6))*
SIN(RADIANS(extra!$P$6-J34)/2)^2
)
)</f>
        <v>450.55556656212974</v>
      </c>
      <c r="U34">
        <f>2*6371000*ASIN(
SQRT(
SIN(RADIANS(extra!$O$3-I34)/2)^2+
COS(RADIANS(I34))*COS(RADIANS(extra!$O$3))*
SIN(RADIANS(extra!$P$3-J34)/2)^2
)
)</f>
        <v>90.950799847059073</v>
      </c>
      <c r="V34">
        <f>2*6371000*ASIN(
SQRT(
SIN(RADIANS(extra!$O$4-I34)/2)^2+
COS(RADIANS(I34))*COS(RADIANS(extra!$O$4))*
SIN(RADIANS(extra!$P$4-J34)/2)^2
)
)</f>
        <v>245.79488551026631</v>
      </c>
      <c r="W34">
        <f t="shared" si="2"/>
        <v>90.950799847059073</v>
      </c>
    </row>
    <row r="35" spans="1:23" x14ac:dyDescent="0.2">
      <c r="A35">
        <v>46</v>
      </c>
      <c r="B35">
        <v>98315437</v>
      </c>
      <c r="C35" t="s">
        <v>69</v>
      </c>
      <c r="D35" s="1" t="s">
        <v>135</v>
      </c>
      <c r="E35" s="1" t="s">
        <v>136</v>
      </c>
      <c r="F35">
        <f t="shared" si="0"/>
        <v>10.616899967193604</v>
      </c>
      <c r="G35">
        <v>-89</v>
      </c>
      <c r="H35">
        <v>9.75</v>
      </c>
      <c r="I35">
        <v>44.636085000000001</v>
      </c>
      <c r="J35">
        <v>-63.595227999999999</v>
      </c>
      <c r="K35">
        <v>44</v>
      </c>
      <c r="L35">
        <v>7</v>
      </c>
      <c r="M35">
        <v>4</v>
      </c>
      <c r="N35">
        <f t="shared" si="1"/>
        <v>3</v>
      </c>
      <c r="Q35">
        <f>2*6371000*ASIN(
SQRT(
SIN(RADIANS(extra!$O$2-I35)/2)^2+
COS(RADIANS(I35))*COS(RADIANS(extra!$O$2))*
SIN(RADIANS(extra!$P$2-J35)/2)^2
)
)</f>
        <v>647.03011474895254</v>
      </c>
      <c r="R35">
        <f>2*6371000*ASIN(
SQRT(
SIN(RADIANS(extra!$O$7-I35)/2)^2+
COS(RADIANS(I35))*COS(RADIANS(extra!$O$7))*
SIN(RADIANS(extra!$P$7-J35)/2)^2
)
)</f>
        <v>628.59072598425507</v>
      </c>
      <c r="S35">
        <f>2*6371000*ASIN(
SQRT(
SIN(RADIANS(extra!$O$5-I35)/2)^2+
COS(RADIANS(I35))*COS(RADIANS(extra!$O$5))*
SIN(RADIANS(extra!$P$5-J35)/2)^2
)
)</f>
        <v>549.42474185013009</v>
      </c>
      <c r="T35">
        <f>2*6371000*ASIN(
SQRT(
SIN(RADIANS(extra!$O$6-I35)/2)^2+
COS(RADIANS(I35))*COS(RADIANS(extra!$O$6))*
SIN(RADIANS(extra!$P$6-J35)/2)^2
)
)</f>
        <v>442.15602494667644</v>
      </c>
      <c r="U35">
        <f>2*6371000*ASIN(
SQRT(
SIN(RADIANS(extra!$O$3-I35)/2)^2+
COS(RADIANS(I35))*COS(RADIANS(extra!$O$3))*
SIN(RADIANS(extra!$P$3-J35)/2)^2
)
)</f>
        <v>88.043327244252765</v>
      </c>
      <c r="V35">
        <f>2*6371000*ASIN(
SQRT(
SIN(RADIANS(extra!$O$4-I35)/2)^2+
COS(RADIANS(I35))*COS(RADIANS(extra!$O$4))*
SIN(RADIANS(extra!$P$4-J35)/2)^2
)
)</f>
        <v>230.45744468002715</v>
      </c>
      <c r="W35">
        <f t="shared" si="2"/>
        <v>88.043327244252765</v>
      </c>
    </row>
    <row r="36" spans="1:23" x14ac:dyDescent="0.2">
      <c r="A36">
        <v>51</v>
      </c>
      <c r="B36">
        <v>3785437362</v>
      </c>
      <c r="C36" t="s">
        <v>69</v>
      </c>
      <c r="D36" s="1" t="s">
        <v>137</v>
      </c>
      <c r="E36" s="1" t="s">
        <v>138</v>
      </c>
      <c r="F36">
        <f t="shared" si="0"/>
        <v>11.051949977874756</v>
      </c>
      <c r="G36">
        <v>-88</v>
      </c>
      <c r="H36">
        <v>9.25</v>
      </c>
      <c r="I36">
        <v>44.636918000000001</v>
      </c>
      <c r="J36">
        <v>-63.594216000000003</v>
      </c>
      <c r="K36">
        <v>47</v>
      </c>
      <c r="L36">
        <v>7</v>
      </c>
      <c r="M36">
        <v>4</v>
      </c>
      <c r="N36">
        <f t="shared" si="1"/>
        <v>3</v>
      </c>
      <c r="Q36">
        <f>2*6371000*ASIN(
SQRT(
SIN(RADIANS(extra!$O$2-I36)/2)^2+
COS(RADIANS(I36))*COS(RADIANS(extra!$O$2))*
SIN(RADIANS(extra!$P$2-J36)/2)^2
)
)</f>
        <v>552.550950463812</v>
      </c>
      <c r="R36">
        <f>2*6371000*ASIN(
SQRT(
SIN(RADIANS(extra!$O$7-I36)/2)^2+
COS(RADIANS(I36))*COS(RADIANS(extra!$O$7))*
SIN(RADIANS(extra!$P$7-J36)/2)^2
)
)</f>
        <v>533.58547881500942</v>
      </c>
      <c r="S36">
        <f>2*6371000*ASIN(
SQRT(
SIN(RADIANS(extra!$O$5-I36)/2)^2+
COS(RADIANS(I36))*COS(RADIANS(extra!$O$5))*
SIN(RADIANS(extra!$P$5-J36)/2)^2
)
)</f>
        <v>456.43616464845013</v>
      </c>
      <c r="T36">
        <f>2*6371000*ASIN(
SQRT(
SIN(RADIANS(extra!$O$6-I36)/2)^2+
COS(RADIANS(I36))*COS(RADIANS(extra!$O$6))*
SIN(RADIANS(extra!$P$6-J36)/2)^2
)
)</f>
        <v>335.21078748838568</v>
      </c>
      <c r="U36">
        <f>2*6371000*ASIN(
SQRT(
SIN(RADIANS(extra!$O$3-I36)/2)^2+
COS(RADIANS(I36))*COS(RADIANS(extra!$O$3))*
SIN(RADIANS(extra!$P$3-J36)/2)^2
)
)</f>
        <v>88.081801444626493</v>
      </c>
      <c r="V36">
        <f>2*6371000*ASIN(
SQRT(
SIN(RADIANS(extra!$O$4-I36)/2)^2+
COS(RADIANS(I36))*COS(RADIANS(extra!$O$4))*
SIN(RADIANS(extra!$P$4-J36)/2)^2
)
)</f>
        <v>108.29398649954523</v>
      </c>
      <c r="W36">
        <f t="shared" si="2"/>
        <v>88.081801444626493</v>
      </c>
    </row>
    <row r="37" spans="1:23" x14ac:dyDescent="0.2">
      <c r="A37">
        <v>53</v>
      </c>
      <c r="B37">
        <v>1102729396</v>
      </c>
      <c r="C37" t="s">
        <v>69</v>
      </c>
      <c r="D37" s="1" t="s">
        <v>139</v>
      </c>
      <c r="E37" s="1" t="s">
        <v>140</v>
      </c>
      <c r="F37">
        <f t="shared" si="0"/>
        <v>8.1484298706054688</v>
      </c>
      <c r="G37">
        <v>-88</v>
      </c>
      <c r="H37">
        <v>7.75</v>
      </c>
      <c r="I37">
        <v>44.637320000000003</v>
      </c>
      <c r="J37">
        <v>-63.593552000000003</v>
      </c>
      <c r="K37">
        <v>49</v>
      </c>
      <c r="L37">
        <v>7</v>
      </c>
      <c r="M37">
        <v>4</v>
      </c>
      <c r="N37">
        <f t="shared" si="1"/>
        <v>3</v>
      </c>
      <c r="Q37">
        <f>2*6371000*ASIN(
SQRT(
SIN(RADIANS(extra!$O$2-I37)/2)^2+
COS(RADIANS(I37))*COS(RADIANS(extra!$O$2))*
SIN(RADIANS(extra!$P$2-J37)/2)^2
)
)</f>
        <v>497.32672956056376</v>
      </c>
      <c r="R37">
        <f>2*6371000*ASIN(
SQRT(
SIN(RADIANS(extra!$O$7-I37)/2)^2+
COS(RADIANS(I37))*COS(RADIANS(extra!$O$7))*
SIN(RADIANS(extra!$P$7-J37)/2)^2
)
)</f>
        <v>478.20214843440317</v>
      </c>
      <c r="S37">
        <f>2*6371000*ASIN(
SQRT(
SIN(RADIANS(extra!$O$5-I37)/2)^2+
COS(RADIANS(I37))*COS(RADIANS(extra!$O$5))*
SIN(RADIANS(extra!$P$5-J37)/2)^2
)
)</f>
        <v>403.15304614882325</v>
      </c>
      <c r="T37">
        <f>2*6371000*ASIN(
SQRT(
SIN(RADIANS(extra!$O$6-I37)/2)^2+
COS(RADIANS(I37))*COS(RADIANS(extra!$O$6))*
SIN(RADIANS(extra!$P$6-J37)/2)^2
)
)</f>
        <v>274.32160551493939</v>
      </c>
      <c r="U37">
        <f>2*6371000*ASIN(
SQRT(
SIN(RADIANS(extra!$O$3-I37)/2)^2+
COS(RADIANS(I37))*COS(RADIANS(extra!$O$3))*
SIN(RADIANS(extra!$P$3-J37)/2)^2
)
)</f>
        <v>139.77505010594857</v>
      </c>
      <c r="V37">
        <f>2*6371000*ASIN(
SQRT(
SIN(RADIANS(extra!$O$4-I37)/2)^2+
COS(RADIANS(I37))*COS(RADIANS(extra!$O$4))*
SIN(RADIANS(extra!$P$4-J37)/2)^2
)
)</f>
        <v>39.600653963968725</v>
      </c>
      <c r="W37">
        <f t="shared" si="2"/>
        <v>39.600653963968725</v>
      </c>
    </row>
    <row r="38" spans="1:23" x14ac:dyDescent="0.2">
      <c r="A38">
        <v>54</v>
      </c>
      <c r="B38">
        <v>2979222709</v>
      </c>
      <c r="C38" t="s">
        <v>69</v>
      </c>
      <c r="D38" s="1" t="s">
        <v>141</v>
      </c>
      <c r="E38" s="1" t="s">
        <v>142</v>
      </c>
      <c r="F38">
        <f t="shared" si="0"/>
        <v>11.986779928207397</v>
      </c>
      <c r="G38">
        <v>-89</v>
      </c>
      <c r="H38">
        <v>8</v>
      </c>
      <c r="I38">
        <v>44.637560999999998</v>
      </c>
      <c r="J38">
        <v>-63.593738999999999</v>
      </c>
      <c r="K38">
        <v>49</v>
      </c>
      <c r="L38">
        <v>7</v>
      </c>
      <c r="M38">
        <v>3</v>
      </c>
      <c r="N38">
        <f t="shared" si="1"/>
        <v>4</v>
      </c>
      <c r="Q38">
        <f>2*6371000*ASIN(
SQRT(
SIN(RADIANS(extra!$O$2-I38)/2)^2+
COS(RADIANS(I38))*COS(RADIANS(extra!$O$2))*
SIN(RADIANS(extra!$P$2-J38)/2)^2
)
)</f>
        <v>512.24907148688942</v>
      </c>
      <c r="R38">
        <f>2*6371000*ASIN(
SQRT(
SIN(RADIANS(extra!$O$7-I38)/2)^2+
COS(RADIANS(I38))*COS(RADIANS(extra!$O$7))*
SIN(RADIANS(extra!$P$7-J38)/2)^2
)
)</f>
        <v>493.08647718869395</v>
      </c>
      <c r="S38">
        <f>2*6371000*ASIN(
SQRT(
SIN(RADIANS(extra!$O$5-I38)/2)^2+
COS(RADIANS(I38))*COS(RADIANS(extra!$O$5))*
SIN(RADIANS(extra!$P$5-J38)/2)^2
)
)</f>
        <v>419.72118589599057</v>
      </c>
      <c r="T38">
        <f>2*6371000*ASIN(
SQRT(
SIN(RADIANS(extra!$O$6-I38)/2)^2+
COS(RADIANS(I38))*COS(RADIANS(extra!$O$6))*
SIN(RADIANS(extra!$P$6-J38)/2)^2
)
)</f>
        <v>286.12486757798428</v>
      </c>
      <c r="U38">
        <f>2*6371000*ASIN(
SQRT(
SIN(RADIANS(extra!$O$3-I38)/2)^2+
COS(RADIANS(I38))*COS(RADIANS(extra!$O$3))*
SIN(RADIANS(extra!$P$3-J38)/2)^2
)
)</f>
        <v>162.0156867235651</v>
      </c>
      <c r="V38">
        <f>2*6371000*ASIN(
SQRT(
SIN(RADIANS(extra!$O$4-I38)/2)^2+
COS(RADIANS(I38))*COS(RADIANS(extra!$O$4))*
SIN(RADIANS(extra!$P$4-J38)/2)^2
)
)</f>
        <v>40.866841727460546</v>
      </c>
      <c r="W38">
        <f t="shared" si="2"/>
        <v>40.866841727460546</v>
      </c>
    </row>
    <row r="39" spans="1:23" x14ac:dyDescent="0.2">
      <c r="A39">
        <v>55</v>
      </c>
      <c r="B39">
        <v>30867638</v>
      </c>
      <c r="C39" t="s">
        <v>69</v>
      </c>
      <c r="D39" s="1" t="s">
        <v>143</v>
      </c>
      <c r="E39" s="1" t="s">
        <v>144</v>
      </c>
      <c r="F39">
        <f t="shared" si="0"/>
        <v>9.9340999126434326</v>
      </c>
      <c r="G39">
        <v>-86</v>
      </c>
      <c r="H39">
        <v>8.25</v>
      </c>
      <c r="I39">
        <v>44.637768999999999</v>
      </c>
      <c r="J39">
        <v>-63.593710999999999</v>
      </c>
      <c r="K39">
        <v>49</v>
      </c>
      <c r="L39">
        <v>7</v>
      </c>
      <c r="M39">
        <v>4</v>
      </c>
      <c r="N39">
        <f t="shared" si="1"/>
        <v>3</v>
      </c>
      <c r="Q39">
        <f>2*6371000*ASIN(
SQRT(
SIN(RADIANS(extra!$O$2-I39)/2)^2+
COS(RADIANS(I39))*COS(RADIANS(extra!$O$2))*
SIN(RADIANS(extra!$P$2-J39)/2)^2
)
)</f>
        <v>511.27774553328322</v>
      </c>
      <c r="R39">
        <f>2*6371000*ASIN(
SQRT(
SIN(RADIANS(extra!$O$7-I39)/2)^2+
COS(RADIANS(I39))*COS(RADIANS(extra!$O$7))*
SIN(RADIANS(extra!$P$7-J39)/2)^2
)
)</f>
        <v>492.12701672039771</v>
      </c>
      <c r="S39">
        <f>2*6371000*ASIN(
SQRT(
SIN(RADIANS(extra!$O$5-I39)/2)^2+
COS(RADIANS(I39))*COS(RADIANS(extra!$O$5))*
SIN(RADIANS(extra!$P$5-J39)/2)^2
)
)</f>
        <v>420.43147431701948</v>
      </c>
      <c r="T39">
        <f>2*6371000*ASIN(
SQRT(
SIN(RADIANS(extra!$O$6-I39)/2)^2+
COS(RADIANS(I39))*COS(RADIANS(extra!$O$6))*
SIN(RADIANS(extra!$P$6-J39)/2)^2
)
)</f>
        <v>283.48672002497915</v>
      </c>
      <c r="U39">
        <f>2*6371000*ASIN(
SQRT(
SIN(RADIANS(extra!$O$3-I39)/2)^2+
COS(RADIANS(I39))*COS(RADIANS(extra!$O$3))*
SIN(RADIANS(extra!$P$3-J39)/2)^2
)
)</f>
        <v>185.16751459526529</v>
      </c>
      <c r="V39">
        <f>2*6371000*ASIN(
SQRT(
SIN(RADIANS(extra!$O$4-I39)/2)^2+
COS(RADIANS(I39))*COS(RADIANS(extra!$O$4))*
SIN(RADIANS(extra!$P$4-J39)/2)^2
)
)</f>
        <v>43.420763783365146</v>
      </c>
      <c r="W39">
        <f t="shared" si="2"/>
        <v>43.420763783365146</v>
      </c>
    </row>
    <row r="40" spans="1:23" x14ac:dyDescent="0.2">
      <c r="A40">
        <v>56</v>
      </c>
      <c r="B40">
        <v>2604299447</v>
      </c>
      <c r="C40" t="s">
        <v>69</v>
      </c>
      <c r="D40" s="1" t="s">
        <v>145</v>
      </c>
      <c r="E40" s="1" t="s">
        <v>146</v>
      </c>
      <c r="F40">
        <f t="shared" si="0"/>
        <v>16.688750028610229</v>
      </c>
      <c r="G40">
        <v>-88</v>
      </c>
      <c r="H40">
        <v>7.25</v>
      </c>
      <c r="I40">
        <v>44.637794</v>
      </c>
      <c r="J40">
        <v>-63.593710999999999</v>
      </c>
      <c r="K40">
        <v>50</v>
      </c>
      <c r="L40">
        <v>7</v>
      </c>
      <c r="M40">
        <v>2</v>
      </c>
      <c r="N40">
        <f t="shared" si="1"/>
        <v>5</v>
      </c>
      <c r="Q40">
        <f>2*6371000*ASIN(
SQRT(
SIN(RADIANS(extra!$O$2-I40)/2)^2+
COS(RADIANS(I40))*COS(RADIANS(extra!$O$2))*
SIN(RADIANS(extra!$P$2-J40)/2)^2
)
)</f>
        <v>511.4973533394122</v>
      </c>
      <c r="R40">
        <f>2*6371000*ASIN(
SQRT(
SIN(RADIANS(extra!$O$7-I40)/2)^2+
COS(RADIANS(I40))*COS(RADIANS(extra!$O$7))*
SIN(RADIANS(extra!$P$7-J40)/2)^2
)
)</f>
        <v>492.35078016175407</v>
      </c>
      <c r="S40">
        <f>2*6371000*ASIN(
SQRT(
SIN(RADIANS(extra!$O$5-I40)/2)^2+
COS(RADIANS(I40))*COS(RADIANS(extra!$O$5))*
SIN(RADIANS(extra!$P$5-J40)/2)^2
)
)</f>
        <v>420.86604132817166</v>
      </c>
      <c r="T40">
        <f>2*6371000*ASIN(
SQRT(
SIN(RADIANS(extra!$O$6-I40)/2)^2+
COS(RADIANS(I40))*COS(RADIANS(extra!$O$6))*
SIN(RADIANS(extra!$P$6-J40)/2)^2
)
)</f>
        <v>283.56243017351409</v>
      </c>
      <c r="U40">
        <f>2*6371000*ASIN(
SQRT(
SIN(RADIANS(extra!$O$3-I40)/2)^2+
COS(RADIANS(I40))*COS(RADIANS(extra!$O$3))*
SIN(RADIANS(extra!$P$3-J40)/2)^2
)
)</f>
        <v>187.90585214934413</v>
      </c>
      <c r="V40">
        <f>2*6371000*ASIN(
SQRT(
SIN(RADIANS(extra!$O$4-I40)/2)^2+
COS(RADIANS(I40))*COS(RADIANS(extra!$O$4))*
SIN(RADIANS(extra!$P$4-J40)/2)^2
)
)</f>
        <v>44.770175206834999</v>
      </c>
      <c r="W40">
        <f t="shared" si="2"/>
        <v>44.770175206834999</v>
      </c>
    </row>
    <row r="41" spans="1:23" x14ac:dyDescent="0.2">
      <c r="A41">
        <v>57</v>
      </c>
      <c r="B41">
        <v>1437587640</v>
      </c>
      <c r="C41" t="s">
        <v>69</v>
      </c>
      <c r="D41" s="1" t="s">
        <v>147</v>
      </c>
      <c r="E41" s="1" t="s">
        <v>148</v>
      </c>
      <c r="F41">
        <f t="shared" si="0"/>
        <v>10.235640048980713</v>
      </c>
      <c r="G41">
        <v>-85</v>
      </c>
      <c r="H41">
        <v>8.25</v>
      </c>
      <c r="I41">
        <v>44.637923999999998</v>
      </c>
      <c r="J41">
        <v>-63.593164999999999</v>
      </c>
      <c r="K41">
        <v>50</v>
      </c>
      <c r="L41">
        <v>7</v>
      </c>
      <c r="M41">
        <v>4</v>
      </c>
      <c r="N41">
        <f t="shared" si="1"/>
        <v>3</v>
      </c>
      <c r="Q41">
        <f>2*6371000*ASIN(
SQRT(
SIN(RADIANS(extra!$O$2-I41)/2)^2+
COS(RADIANS(I41))*COS(RADIANS(extra!$O$2))*
SIN(RADIANS(extra!$P$2-J41)/2)^2
)
)</f>
        <v>469.96458443393647</v>
      </c>
      <c r="R41">
        <f>2*6371000*ASIN(
SQRT(
SIN(RADIANS(extra!$O$7-I41)/2)^2+
COS(RADIANS(I41))*COS(RADIANS(extra!$O$7))*
SIN(RADIANS(extra!$P$7-J41)/2)^2
)
)</f>
        <v>450.86404500330349</v>
      </c>
      <c r="S41">
        <f>2*6371000*ASIN(
SQRT(
SIN(RADIANS(extra!$O$5-I41)/2)^2+
COS(RADIANS(I41))*COS(RADIANS(extra!$O$5))*
SIN(RADIANS(extra!$P$5-J41)/2)^2
)
)</f>
        <v>381.11320494933358</v>
      </c>
      <c r="T41">
        <f>2*6371000*ASIN(
SQRT(
SIN(RADIANS(extra!$O$6-I41)/2)^2+
COS(RADIANS(I41))*COS(RADIANS(extra!$O$6))*
SIN(RADIANS(extra!$P$6-J41)/2)^2
)
)</f>
        <v>241.36870035973817</v>
      </c>
      <c r="U41">
        <f>2*6371000*ASIN(
SQRT(
SIN(RADIANS(extra!$O$3-I41)/2)^2+
COS(RADIANS(I41))*COS(RADIANS(extra!$O$3))*
SIN(RADIANS(extra!$P$3-J41)/2)^2
)
)</f>
        <v>213.3354681024714</v>
      </c>
      <c r="V41">
        <f>2*6371000*ASIN(
SQRT(
SIN(RADIANS(extra!$O$4-I41)/2)^2+
COS(RADIANS(I41))*COS(RADIANS(extra!$O$4))*
SIN(RADIANS(extra!$P$4-J41)/2)^2
)
)</f>
        <v>37.541671163667587</v>
      </c>
      <c r="W41">
        <f t="shared" si="2"/>
        <v>37.541671163667587</v>
      </c>
    </row>
    <row r="42" spans="1:23" x14ac:dyDescent="0.2">
      <c r="A42">
        <v>58</v>
      </c>
      <c r="B42">
        <v>1948675257</v>
      </c>
      <c r="C42" t="s">
        <v>69</v>
      </c>
      <c r="D42" s="1" t="s">
        <v>149</v>
      </c>
      <c r="E42" s="1" t="s">
        <v>150</v>
      </c>
      <c r="F42">
        <f t="shared" si="0"/>
        <v>8.3150398731231689</v>
      </c>
      <c r="G42">
        <v>-84</v>
      </c>
      <c r="H42">
        <v>7.75</v>
      </c>
      <c r="I42">
        <v>44.637756000000003</v>
      </c>
      <c r="J42">
        <v>-63.592899000000003</v>
      </c>
      <c r="K42">
        <v>49</v>
      </c>
      <c r="L42">
        <v>7</v>
      </c>
      <c r="M42">
        <v>4</v>
      </c>
      <c r="N42">
        <f t="shared" si="1"/>
        <v>3</v>
      </c>
      <c r="Q42">
        <f>2*6371000*ASIN(
SQRT(
SIN(RADIANS(extra!$O$2-I42)/2)^2+
COS(RADIANS(I42))*COS(RADIANS(extra!$O$2))*
SIN(RADIANS(extra!$P$2-J42)/2)^2
)
)</f>
        <v>447.12090835945338</v>
      </c>
      <c r="R42">
        <f>2*6371000*ASIN(
SQRT(
SIN(RADIANS(extra!$O$7-I42)/2)^2+
COS(RADIANS(I42))*COS(RADIANS(extra!$O$7))*
SIN(RADIANS(extra!$P$7-J42)/2)^2
)
)</f>
        <v>427.97640071167882</v>
      </c>
      <c r="S42">
        <f>2*6371000*ASIN(
SQRT(
SIN(RADIANS(extra!$O$5-I42)/2)^2+
COS(RADIANS(I42))*COS(RADIANS(extra!$O$5))*
SIN(RADIANS(extra!$P$5-J42)/2)^2
)
)</f>
        <v>356.81948910385597</v>
      </c>
      <c r="T42">
        <f>2*6371000*ASIN(
SQRT(
SIN(RADIANS(extra!$O$6-I42)/2)^2+
COS(RADIANS(I42))*COS(RADIANS(extra!$O$6))*
SIN(RADIANS(extra!$P$6-J42)/2)^2
)
)</f>
        <v>219.22322779823062</v>
      </c>
      <c r="U42">
        <f>2*6371000*ASIN(
SQRT(
SIN(RADIANS(extra!$O$3-I42)/2)^2+
COS(RADIANS(I42))*COS(RADIANS(extra!$O$3))*
SIN(RADIANS(extra!$P$3-J42)/2)^2
)
)</f>
        <v>204.98178288872288</v>
      </c>
      <c r="V42">
        <f>2*6371000*ASIN(
SQRT(
SIN(RADIANS(extra!$O$4-I42)/2)^2+
COS(RADIANS(I42))*COS(RADIANS(extra!$O$4))*
SIN(RADIANS(extra!$P$4-J42)/2)^2
)
)</f>
        <v>31.71871767051956</v>
      </c>
      <c r="W42">
        <f t="shared" si="2"/>
        <v>31.71871767051956</v>
      </c>
    </row>
    <row r="43" spans="1:23" x14ac:dyDescent="0.2">
      <c r="A43">
        <v>59</v>
      </c>
      <c r="B43">
        <v>1599745210</v>
      </c>
      <c r="C43" t="s">
        <v>69</v>
      </c>
      <c r="D43" s="1" t="s">
        <v>151</v>
      </c>
      <c r="E43" s="1" t="s">
        <v>152</v>
      </c>
      <c r="F43">
        <f t="shared" si="0"/>
        <v>6.2359099388122559</v>
      </c>
      <c r="G43">
        <v>-87</v>
      </c>
      <c r="H43">
        <v>8</v>
      </c>
      <c r="I43">
        <v>44.637650999999998</v>
      </c>
      <c r="J43">
        <v>-63.592584000000002</v>
      </c>
      <c r="K43">
        <v>50</v>
      </c>
      <c r="L43">
        <v>7</v>
      </c>
      <c r="M43">
        <v>5</v>
      </c>
      <c r="N43">
        <f t="shared" si="1"/>
        <v>2</v>
      </c>
      <c r="Q43">
        <f>2*6371000*ASIN(
SQRT(
SIN(RADIANS(extra!$O$2-I43)/2)^2+
COS(RADIANS(I43))*COS(RADIANS(extra!$O$2))*
SIN(RADIANS(extra!$P$2-J43)/2)^2
)
)</f>
        <v>421.41249128568791</v>
      </c>
      <c r="R43">
        <f>2*6371000*ASIN(
SQRT(
SIN(RADIANS(extra!$O$7-I43)/2)^2+
COS(RADIANS(I43))*COS(RADIANS(extra!$O$7))*
SIN(RADIANS(extra!$P$7-J43)/2)^2
)
)</f>
        <v>402.25338404951032</v>
      </c>
      <c r="S43">
        <f>2*6371000*ASIN(
SQRT(
SIN(RADIANS(extra!$O$5-I43)/2)^2+
COS(RADIANS(I43))*COS(RADIANS(extra!$O$5))*
SIN(RADIANS(extra!$P$5-J43)/2)^2
)
)</f>
        <v>330.30381939440423</v>
      </c>
      <c r="T43">
        <f>2*6371000*ASIN(
SQRT(
SIN(RADIANS(extra!$O$6-I43)/2)^2+
COS(RADIANS(I43))*COS(RADIANS(extra!$O$6))*
SIN(RADIANS(extra!$P$6-J43)/2)^2
)
)</f>
        <v>194.36368356745169</v>
      </c>
      <c r="U43">
        <f>2*6371000*ASIN(
SQRT(
SIN(RADIANS(extra!$O$3-I43)/2)^2+
COS(RADIANS(I43))*COS(RADIANS(extra!$O$3))*
SIN(RADIANS(extra!$P$3-J43)/2)^2
)
)</f>
        <v>208.21741278565392</v>
      </c>
      <c r="V43">
        <f>2*6371000*ASIN(
SQRT(
SIN(RADIANS(extra!$O$4-I43)/2)^2+
COS(RADIANS(I43))*COS(RADIANS(extra!$O$4))*
SIN(RADIANS(extra!$P$4-J43)/2)^2
)
)</f>
        <v>51.105475940217701</v>
      </c>
      <c r="W43">
        <f t="shared" si="2"/>
        <v>51.105475940217701</v>
      </c>
    </row>
    <row r="44" spans="1:23" x14ac:dyDescent="0.2">
      <c r="A44">
        <v>60</v>
      </c>
      <c r="B44">
        <v>2994447547</v>
      </c>
      <c r="C44" t="s">
        <v>69</v>
      </c>
      <c r="D44" s="1" t="s">
        <v>153</v>
      </c>
      <c r="E44" s="1" t="s">
        <v>154</v>
      </c>
      <c r="F44">
        <f t="shared" si="0"/>
        <v>11.176090002059937</v>
      </c>
      <c r="G44">
        <v>-78</v>
      </c>
      <c r="H44">
        <v>8.25</v>
      </c>
      <c r="I44">
        <v>44.637745000000002</v>
      </c>
      <c r="J44">
        <v>-63.592210000000001</v>
      </c>
      <c r="K44">
        <v>49</v>
      </c>
      <c r="L44">
        <v>7</v>
      </c>
      <c r="M44">
        <v>4</v>
      </c>
      <c r="N44">
        <f t="shared" si="1"/>
        <v>3</v>
      </c>
      <c r="Q44">
        <f>2*6371000*ASIN(
SQRT(
SIN(RADIANS(extra!$O$2-I44)/2)^2+
COS(RADIANS(I44))*COS(RADIANS(extra!$O$2))*
SIN(RADIANS(extra!$P$2-J44)/2)^2
)
)</f>
        <v>392.71010460810004</v>
      </c>
      <c r="R44">
        <f>2*6371000*ASIN(
SQRT(
SIN(RADIANS(extra!$O$7-I44)/2)^2+
COS(RADIANS(I44))*COS(RADIANS(extra!$O$7))*
SIN(RADIANS(extra!$P$7-J44)/2)^2
)
)</f>
        <v>373.57396337432937</v>
      </c>
      <c r="S44">
        <f>2*6371000*ASIN(
SQRT(
SIN(RADIANS(extra!$O$5-I44)/2)^2+
COS(RADIANS(I44))*COS(RADIANS(extra!$O$5))*
SIN(RADIANS(extra!$P$5-J44)/2)^2
)
)</f>
        <v>303.05975787803567</v>
      </c>
      <c r="T44">
        <f>2*6371000*ASIN(
SQRT(
SIN(RADIANS(extra!$O$6-I44)/2)^2+
COS(RADIANS(I44))*COS(RADIANS(extra!$O$6))*
SIN(RADIANS(extra!$P$6-J44)/2)^2
)
)</f>
        <v>164.69429546185776</v>
      </c>
      <c r="U44">
        <f>2*6371000*ASIN(
SQRT(
SIN(RADIANS(extra!$O$3-I44)/2)^2+
COS(RADIANS(I44))*COS(RADIANS(extra!$O$3))*
SIN(RADIANS(extra!$P$3-J44)/2)^2
)
)</f>
        <v>234.64037242028738</v>
      </c>
      <c r="V44">
        <f>2*6371000*ASIN(
SQRT(
SIN(RADIANS(extra!$O$4-I44)/2)^2+
COS(RADIANS(I44))*COS(RADIANS(extra!$O$4))*
SIN(RADIANS(extra!$P$4-J44)/2)^2
)
)</f>
        <v>82.083853785764163</v>
      </c>
      <c r="W44">
        <f t="shared" si="2"/>
        <v>82.083853785764163</v>
      </c>
    </row>
    <row r="45" spans="1:23" x14ac:dyDescent="0.2">
      <c r="A45">
        <v>61</v>
      </c>
      <c r="B45">
        <v>3912256700</v>
      </c>
      <c r="C45" t="s">
        <v>69</v>
      </c>
      <c r="D45">
        <v>1784213375.9679501</v>
      </c>
      <c r="E45" s="1" t="s">
        <v>155</v>
      </c>
      <c r="F45">
        <f t="shared" si="0"/>
        <v>6.9728498458862305</v>
      </c>
      <c r="G45">
        <v>-79</v>
      </c>
      <c r="H45">
        <v>8.75</v>
      </c>
      <c r="I45">
        <v>44.637855000000002</v>
      </c>
      <c r="J45">
        <v>-63.591819000000001</v>
      </c>
      <c r="K45">
        <v>51</v>
      </c>
      <c r="L45">
        <v>7</v>
      </c>
      <c r="M45">
        <v>5</v>
      </c>
      <c r="N45">
        <f t="shared" si="1"/>
        <v>2</v>
      </c>
      <c r="Q45">
        <f>2*6371000*ASIN(
SQRT(
SIN(RADIANS(extra!$O$2-I45)/2)^2+
COS(RADIANS(I45))*COS(RADIANS(extra!$O$2))*
SIN(RADIANS(extra!$P$2-J45)/2)^2
)
)</f>
        <v>363.34982276532753</v>
      </c>
      <c r="R45">
        <f>2*6371000*ASIN(
SQRT(
SIN(RADIANS(extra!$O$7-I45)/2)^2+
COS(RADIANS(I45))*COS(RADIANS(extra!$O$7))*
SIN(RADIANS(extra!$P$7-J45)/2)^2
)
)</f>
        <v>344.27474020354043</v>
      </c>
      <c r="S45">
        <f>2*6371000*ASIN(
SQRT(
SIN(RADIANS(extra!$O$5-I45)/2)^2+
COS(RADIANS(I45))*COS(RADIANS(extra!$O$5))*
SIN(RADIANS(extra!$P$5-J45)/2)^2
)
)</f>
        <v>275.86750702164647</v>
      </c>
      <c r="T45">
        <f>2*6371000*ASIN(
SQRT(
SIN(RADIANS(extra!$O$6-I45)/2)^2+
COS(RADIANS(I45))*COS(RADIANS(extra!$O$6))*
SIN(RADIANS(extra!$P$6-J45)/2)^2
)
)</f>
        <v>134.65859017468628</v>
      </c>
      <c r="U45">
        <f>2*6371000*ASIN(
SQRT(
SIN(RADIANS(extra!$O$3-I45)/2)^2+
COS(RADIANS(I45))*COS(RADIANS(extra!$O$3))*
SIN(RADIANS(extra!$P$3-J45)/2)^2
)
)</f>
        <v>264.37595511823451</v>
      </c>
      <c r="V45">
        <f>2*6371000*ASIN(
SQRT(
SIN(RADIANS(extra!$O$4-I45)/2)^2+
COS(RADIANS(I45))*COS(RADIANS(extra!$O$4))*
SIN(RADIANS(extra!$P$4-J45)/2)^2
)
)</f>
        <v>115.03435287833788</v>
      </c>
      <c r="W45">
        <f t="shared" si="2"/>
        <v>115.03435287833788</v>
      </c>
    </row>
    <row r="46" spans="1:23" x14ac:dyDescent="0.2">
      <c r="A46">
        <v>62</v>
      </c>
      <c r="B46">
        <v>2726708413</v>
      </c>
      <c r="C46" t="s">
        <v>69</v>
      </c>
      <c r="D46" s="1" t="s">
        <v>156</v>
      </c>
      <c r="E46" s="1" t="s">
        <v>157</v>
      </c>
      <c r="F46">
        <f t="shared" si="0"/>
        <v>6.8747200965881348</v>
      </c>
      <c r="G46">
        <v>-80</v>
      </c>
      <c r="H46">
        <v>8.75</v>
      </c>
      <c r="I46">
        <v>44.637957</v>
      </c>
      <c r="J46">
        <v>-63.591442999999998</v>
      </c>
      <c r="K46">
        <v>53</v>
      </c>
      <c r="L46">
        <v>7</v>
      </c>
      <c r="M46">
        <v>5</v>
      </c>
      <c r="N46">
        <f t="shared" si="1"/>
        <v>2</v>
      </c>
      <c r="Q46">
        <f>2*6371000*ASIN(
SQRT(
SIN(RADIANS(extra!$O$2-I46)/2)^2+
COS(RADIANS(I46))*COS(RADIANS(extra!$O$2))*
SIN(RADIANS(extra!$P$2-J46)/2)^2
)
)</f>
        <v>335.72865864666647</v>
      </c>
      <c r="R46">
        <f>2*6371000*ASIN(
SQRT(
SIN(RADIANS(extra!$O$7-I46)/2)^2+
COS(RADIANS(I46))*COS(RADIANS(extra!$O$7))*
SIN(RADIANS(extra!$P$7-J46)/2)^2
)
)</f>
        <v>316.76077203372313</v>
      </c>
      <c r="S46">
        <f>2*6371000*ASIN(
SQRT(
SIN(RADIANS(extra!$O$5-I46)/2)^2+
COS(RADIANS(I46))*COS(RADIANS(extra!$O$5))*
SIN(RADIANS(extra!$P$5-J46)/2)^2
)
)</f>
        <v>250.9588065732047</v>
      </c>
      <c r="T46">
        <f>2*6371000*ASIN(
SQRT(
SIN(RADIANS(extra!$O$6-I46)/2)^2+
COS(RADIANS(I46))*COS(RADIANS(extra!$O$6))*
SIN(RADIANS(extra!$P$6-J46)/2)^2
)
)</f>
        <v>107.47646793317809</v>
      </c>
      <c r="U46">
        <f>2*6371000*ASIN(
SQRT(
SIN(RADIANS(extra!$O$3-I46)/2)^2+
COS(RADIANS(I46))*COS(RADIANS(extra!$O$3))*
SIN(RADIANS(extra!$P$3-J46)/2)^2
)
)</f>
        <v>293.3948532025683</v>
      </c>
      <c r="V46">
        <f>2*6371000*ASIN(
SQRT(
SIN(RADIANS(extra!$O$4-I46)/2)^2+
COS(RADIANS(I46))*COS(RADIANS(extra!$O$4))*
SIN(RADIANS(extra!$P$4-J46)/2)^2
)
)</f>
        <v>146.73759083362651</v>
      </c>
      <c r="W46">
        <f t="shared" si="2"/>
        <v>107.47646793317809</v>
      </c>
    </row>
    <row r="47" spans="1:23" x14ac:dyDescent="0.2">
      <c r="A47">
        <v>63</v>
      </c>
      <c r="B47">
        <v>1022406846</v>
      </c>
      <c r="C47" t="s">
        <v>69</v>
      </c>
      <c r="D47" s="1" t="s">
        <v>158</v>
      </c>
      <c r="E47" s="1" t="s">
        <v>159</v>
      </c>
      <c r="F47">
        <f t="shared" si="0"/>
        <v>9.6630101203918457</v>
      </c>
      <c r="G47">
        <v>-80</v>
      </c>
      <c r="H47">
        <v>8.25</v>
      </c>
      <c r="I47">
        <v>44.638105000000003</v>
      </c>
      <c r="J47">
        <v>-63.591064000000003</v>
      </c>
      <c r="K47">
        <v>56</v>
      </c>
      <c r="L47">
        <v>7</v>
      </c>
      <c r="M47">
        <v>5</v>
      </c>
      <c r="N47">
        <f t="shared" si="1"/>
        <v>2</v>
      </c>
      <c r="Q47">
        <f>2*6371000*ASIN(
SQRT(
SIN(RADIANS(extra!$O$2-I47)/2)^2+
COS(RADIANS(I47))*COS(RADIANS(extra!$O$2))*
SIN(RADIANS(extra!$P$2-J47)/2)^2
)
)</f>
        <v>309.9103710805764</v>
      </c>
      <c r="R47">
        <f>2*6371000*ASIN(
SQRT(
SIN(RADIANS(extra!$O$7-I47)/2)^2+
COS(RADIANS(I47))*COS(RADIANS(extra!$O$7))*
SIN(RADIANS(extra!$P$7-J47)/2)^2
)
)</f>
        <v>291.18872917100748</v>
      </c>
      <c r="S47">
        <f>2*6371000*ASIN(
SQRT(
SIN(RADIANS(extra!$O$5-I47)/2)^2+
COS(RADIANS(I47))*COS(RADIANS(extra!$O$5))*
SIN(RADIANS(extra!$P$5-J47)/2)^2
)
)</f>
        <v>229.78682180847318</v>
      </c>
      <c r="T47">
        <f>2*6371000*ASIN(
SQRT(
SIN(RADIANS(extra!$O$6-I47)/2)^2+
COS(RADIANS(I47))*COS(RADIANS(extra!$O$6))*
SIN(RADIANS(extra!$P$6-J47)/2)^2
)
)</f>
        <v>85.921823094855966</v>
      </c>
      <c r="U47">
        <f>2*6371000*ASIN(
SQRT(
SIN(RADIANS(extra!$O$3-I47)/2)^2+
COS(RADIANS(I47))*COS(RADIANS(extra!$O$3))*
SIN(RADIANS(extra!$P$3-J47)/2)^2
)
)</f>
        <v>326.54245693836356</v>
      </c>
      <c r="V47">
        <f>2*6371000*ASIN(
SQRT(
SIN(RADIANS(extra!$O$4-I47)/2)^2+
COS(RADIANS(I47))*COS(RADIANS(extra!$O$4))*
SIN(RADIANS(extra!$P$4-J47)/2)^2
)
)</f>
        <v>180.2779914795953</v>
      </c>
      <c r="W47">
        <f t="shared" si="2"/>
        <v>85.921823094855966</v>
      </c>
    </row>
    <row r="48" spans="1:23" x14ac:dyDescent="0.2">
      <c r="A48">
        <v>64</v>
      </c>
      <c r="B48">
        <v>3308797119</v>
      </c>
      <c r="C48" t="s">
        <v>69</v>
      </c>
      <c r="D48" s="1" t="s">
        <v>160</v>
      </c>
      <c r="E48" s="1" t="s">
        <v>161</v>
      </c>
      <c r="F48">
        <f t="shared" si="0"/>
        <v>8.0954799652099609</v>
      </c>
      <c r="G48">
        <v>-77</v>
      </c>
      <c r="H48">
        <v>9</v>
      </c>
      <c r="I48">
        <v>44.638209000000003</v>
      </c>
      <c r="J48">
        <v>-63.590701000000003</v>
      </c>
      <c r="K48">
        <v>56</v>
      </c>
      <c r="L48">
        <v>7</v>
      </c>
      <c r="M48">
        <v>5</v>
      </c>
      <c r="N48">
        <f t="shared" si="1"/>
        <v>2</v>
      </c>
      <c r="Q48">
        <f>2*6371000*ASIN(
SQRT(
SIN(RADIANS(extra!$O$2-I48)/2)^2+
COS(RADIANS(I48))*COS(RADIANS(extra!$O$2))*
SIN(RADIANS(extra!$P$2-J48)/2)^2
)
)</f>
        <v>285.51175712270066</v>
      </c>
      <c r="R48">
        <f>2*6371000*ASIN(
SQRT(
SIN(RADIANS(extra!$O$7-I48)/2)^2+
COS(RADIANS(I48))*COS(RADIANS(extra!$O$7))*
SIN(RADIANS(extra!$P$7-J48)/2)^2
)
)</f>
        <v>267.10542414322822</v>
      </c>
      <c r="S48">
        <f>2*6371000*ASIN(
SQRT(
SIN(RADIANS(extra!$O$5-I48)/2)^2+
COS(RADIANS(I48))*COS(RADIANS(extra!$O$5))*
SIN(RADIANS(extra!$P$5-J48)/2)^2
)
)</f>
        <v>210.42466814178539</v>
      </c>
      <c r="T48">
        <f>2*6371000*ASIN(
SQRT(
SIN(RADIANS(extra!$O$6-I48)/2)^2+
COS(RADIANS(I48))*COS(RADIANS(extra!$O$6))*
SIN(RADIANS(extra!$P$6-J48)/2)^2
)
)</f>
        <v>71.430806392474395</v>
      </c>
      <c r="U48">
        <f>2*6371000*ASIN(
SQRT(
SIN(RADIANS(extra!$O$3-I48)/2)^2+
COS(RADIANS(I48))*COS(RADIANS(extra!$O$3))*
SIN(RADIANS(extra!$P$3-J48)/2)^2
)
)</f>
        <v>355.73378039625891</v>
      </c>
      <c r="V48">
        <f>2*6371000*ASIN(
SQRT(
SIN(RADIANS(extra!$O$4-I48)/2)^2+
COS(RADIANS(I48))*COS(RADIANS(extra!$O$4))*
SIN(RADIANS(extra!$P$4-J48)/2)^2
)
)</f>
        <v>211.19405093157769</v>
      </c>
      <c r="W48">
        <f t="shared" si="2"/>
        <v>71.430806392474395</v>
      </c>
    </row>
    <row r="49" spans="1:23" x14ac:dyDescent="0.2">
      <c r="A49">
        <v>66</v>
      </c>
      <c r="B49">
        <v>1411102913</v>
      </c>
      <c r="C49" t="s">
        <v>69</v>
      </c>
      <c r="D49" s="1" t="s">
        <v>162</v>
      </c>
      <c r="E49" s="1" t="s">
        <v>163</v>
      </c>
      <c r="F49">
        <f t="shared" si="0"/>
        <v>12.416559934616089</v>
      </c>
      <c r="G49">
        <v>-79</v>
      </c>
      <c r="H49">
        <v>8.25</v>
      </c>
      <c r="I49">
        <v>44.638691999999999</v>
      </c>
      <c r="J49">
        <v>-63.590879999999999</v>
      </c>
      <c r="K49">
        <v>56</v>
      </c>
      <c r="L49">
        <v>7</v>
      </c>
      <c r="M49">
        <v>5</v>
      </c>
      <c r="N49">
        <f t="shared" si="1"/>
        <v>2</v>
      </c>
      <c r="Q49">
        <f>2*6371000*ASIN(
SQRT(
SIN(RADIANS(extra!$O$2-I49)/2)^2+
COS(RADIANS(I49))*COS(RADIANS(extra!$O$2))*
SIN(RADIANS(extra!$P$2-J49)/2)^2
)
)</f>
        <v>318.97176224583802</v>
      </c>
      <c r="R49">
        <f>2*6371000*ASIN(
SQRT(
SIN(RADIANS(extra!$O$7-I49)/2)^2+
COS(RADIANS(I49))*COS(RADIANS(extra!$O$7))*
SIN(RADIANS(extra!$P$7-J49)/2)^2
)
)</f>
        <v>301.57161750260923</v>
      </c>
      <c r="S49">
        <f>2*6371000*ASIN(
SQRT(
SIN(RADIANS(extra!$O$5-I49)/2)^2+
COS(RADIANS(I49))*COS(RADIANS(extra!$O$5))*
SIN(RADIANS(extra!$P$5-J49)/2)^2
)
)</f>
        <v>254.0800501455619</v>
      </c>
      <c r="T49">
        <f>2*6371000*ASIN(
SQRT(
SIN(RADIANS(extra!$O$6-I49)/2)^2+
COS(RADIANS(I49))*COS(RADIANS(extra!$O$6))*
SIN(RADIANS(extra!$P$6-J49)/2)^2
)
)</f>
        <v>124.11873512850565</v>
      </c>
      <c r="U49">
        <f>2*6371000*ASIN(
SQRT(
SIN(RADIANS(extra!$O$3-I49)/2)^2+
COS(RADIANS(I49))*COS(RADIANS(extra!$O$3))*
SIN(RADIANS(extra!$P$3-J49)/2)^2
)
)</f>
        <v>383.16877193840958</v>
      </c>
      <c r="V49">
        <f>2*6371000*ASIN(
SQRT(
SIN(RADIANS(extra!$O$4-I49)/2)^2+
COS(RADIANS(I49))*COS(RADIANS(extra!$O$4))*
SIN(RADIANS(extra!$P$4-J49)/2)^2
)
)</f>
        <v>222.34749297618373</v>
      </c>
      <c r="W49">
        <f t="shared" si="2"/>
        <v>124.11873512850565</v>
      </c>
    </row>
    <row r="50" spans="1:23" x14ac:dyDescent="0.2">
      <c r="A50">
        <v>68</v>
      </c>
      <c r="B50">
        <v>3084971203</v>
      </c>
      <c r="C50" t="s">
        <v>69</v>
      </c>
      <c r="D50" s="1" t="s">
        <v>164</v>
      </c>
      <c r="E50" s="1" t="s">
        <v>165</v>
      </c>
      <c r="F50">
        <f t="shared" si="0"/>
        <v>12.80295991897583</v>
      </c>
      <c r="G50">
        <v>-82</v>
      </c>
      <c r="H50">
        <v>7.5</v>
      </c>
      <c r="I50">
        <v>44.639195999999998</v>
      </c>
      <c r="J50">
        <v>-63.590603999999999</v>
      </c>
      <c r="K50">
        <v>57</v>
      </c>
      <c r="L50">
        <v>7</v>
      </c>
      <c r="M50">
        <v>4</v>
      </c>
      <c r="N50">
        <f t="shared" si="1"/>
        <v>3</v>
      </c>
      <c r="Q50">
        <f>2*6371000*ASIN(
SQRT(
SIN(RADIANS(extra!$O$2-I50)/2)^2+
COS(RADIANS(I50))*COS(RADIANS(extra!$O$2))*
SIN(RADIANS(extra!$P$2-J50)/2)^2
)
)</f>
        <v>329.78218054160573</v>
      </c>
      <c r="R50">
        <f>2*6371000*ASIN(
SQRT(
SIN(RADIANS(extra!$O$7-I50)/2)^2+
COS(RADIANS(I50))*COS(RADIANS(extra!$O$7))*
SIN(RADIANS(extra!$P$7-J50)/2)^2
)
)</f>
        <v>314.17806420560669</v>
      </c>
      <c r="S50">
        <f>2*6371000*ASIN(
SQRT(
SIN(RADIANS(extra!$O$5-I50)/2)^2+
COS(RADIANS(I50))*COS(RADIANS(extra!$O$5))*
SIN(RADIANS(extra!$P$5-J50)/2)^2
)
)</f>
        <v>280.23394616540986</v>
      </c>
      <c r="T50">
        <f>2*6371000*ASIN(
SQRT(
SIN(RADIANS(extra!$O$6-I50)/2)^2+
COS(RADIANS(I50))*COS(RADIANS(extra!$O$6))*
SIN(RADIANS(extra!$P$6-J50)/2)^2
)
)</f>
        <v>169.23897766774414</v>
      </c>
      <c r="U50">
        <f>2*6371000*ASIN(
SQRT(
SIN(RADIANS(extra!$O$3-I50)/2)^2+
COS(RADIANS(I50))*COS(RADIANS(extra!$O$3))*
SIN(RADIANS(extra!$P$3-J50)/2)^2
)
)</f>
        <v>439.95993379816952</v>
      </c>
      <c r="V50">
        <f>2*6371000*ASIN(
SQRT(
SIN(RADIANS(extra!$O$4-I50)/2)^2+
COS(RADIANS(I50))*COS(RADIANS(extra!$O$4))*
SIN(RADIANS(extra!$P$4-J50)/2)^2
)
)</f>
        <v>273.68346405826827</v>
      </c>
      <c r="W50">
        <f t="shared" si="2"/>
        <v>169.23897766774414</v>
      </c>
    </row>
    <row r="51" spans="1:23" x14ac:dyDescent="0.2">
      <c r="A51">
        <v>70</v>
      </c>
      <c r="B51">
        <v>2686406853</v>
      </c>
      <c r="C51" t="s">
        <v>69</v>
      </c>
      <c r="D51" s="1" t="s">
        <v>166</v>
      </c>
      <c r="E51" s="1" t="s">
        <v>167</v>
      </c>
      <c r="F51">
        <f t="shared" si="0"/>
        <v>7.3911099433898926</v>
      </c>
      <c r="G51">
        <v>-83</v>
      </c>
      <c r="H51">
        <v>9.75</v>
      </c>
      <c r="I51">
        <v>44.639425000000003</v>
      </c>
      <c r="J51">
        <v>-63.589846999999999</v>
      </c>
      <c r="K51">
        <v>58</v>
      </c>
      <c r="L51">
        <v>7</v>
      </c>
      <c r="M51">
        <v>5</v>
      </c>
      <c r="N51">
        <f t="shared" si="1"/>
        <v>2</v>
      </c>
      <c r="Q51">
        <f>2*6371000*ASIN(
SQRT(
SIN(RADIANS(extra!$O$2-I51)/2)^2+
COS(RADIANS(I51))*COS(RADIANS(extra!$O$2))*
SIN(RADIANS(extra!$P$2-J51)/2)^2
)
)</f>
        <v>302.3938334052944</v>
      </c>
      <c r="R51">
        <f>2*6371000*ASIN(
SQRT(
SIN(RADIANS(extra!$O$7-I51)/2)^2+
COS(RADIANS(I51))*COS(RADIANS(extra!$O$7))*
SIN(RADIANS(extra!$P$7-J51)/2)^2
)
)</f>
        <v>289.21904660421006</v>
      </c>
      <c r="S51">
        <f>2*6371000*ASIN(
SQRT(
SIN(RADIANS(extra!$O$5-I51)/2)^2+
COS(RADIANS(I51))*COS(RADIANS(extra!$O$5))*
SIN(RADIANS(extra!$P$5-J51)/2)^2
)
)</f>
        <v>271.67206286571371</v>
      </c>
      <c r="T51">
        <f>2*6371000*ASIN(
SQRT(
SIN(RADIANS(extra!$O$6-I51)/2)^2+
COS(RADIANS(I51))*COS(RADIANS(extra!$O$6))*
SIN(RADIANS(extra!$P$6-J51)/2)^2
)
)</f>
        <v>191.7792615434185</v>
      </c>
      <c r="U51">
        <f>2*6371000*ASIN(
SQRT(
SIN(RADIANS(extra!$O$3-I51)/2)^2+
COS(RADIANS(I51))*COS(RADIANS(extra!$O$3))*
SIN(RADIANS(extra!$P$3-J51)/2)^2
)
)</f>
        <v>498.4625729737179</v>
      </c>
      <c r="V51">
        <f>2*6371000*ASIN(
SQRT(
SIN(RADIANS(extra!$O$4-I51)/2)^2+
COS(RADIANS(I51))*COS(RADIANS(extra!$O$4))*
SIN(RADIANS(extra!$P$4-J51)/2)^2
)
)</f>
        <v>336.25959902123924</v>
      </c>
      <c r="W51">
        <f t="shared" si="2"/>
        <v>191.7792615434185</v>
      </c>
    </row>
    <row r="52" spans="1:23" x14ac:dyDescent="0.2">
      <c r="A52">
        <v>71</v>
      </c>
      <c r="B52">
        <v>3789574342</v>
      </c>
      <c r="C52" t="s">
        <v>69</v>
      </c>
      <c r="D52" s="1" t="s">
        <v>168</v>
      </c>
      <c r="E52" s="1" t="s">
        <v>169</v>
      </c>
      <c r="F52">
        <f t="shared" si="0"/>
        <v>8.2458498477935791</v>
      </c>
      <c r="G52">
        <v>-83</v>
      </c>
      <c r="H52">
        <v>9.75</v>
      </c>
      <c r="I52">
        <v>44.638984999999998</v>
      </c>
      <c r="J52">
        <v>-63.589779</v>
      </c>
      <c r="K52">
        <v>55</v>
      </c>
      <c r="L52">
        <v>7</v>
      </c>
      <c r="M52">
        <v>5</v>
      </c>
      <c r="N52">
        <f t="shared" si="1"/>
        <v>2</v>
      </c>
      <c r="Q52">
        <f>2*6371000*ASIN(
SQRT(
SIN(RADIANS(extra!$O$2-I52)/2)^2+
COS(RADIANS(I52))*COS(RADIANS(extra!$O$2))*
SIN(RADIANS(extra!$P$2-J52)/2)^2
)
)</f>
        <v>264.25732477054635</v>
      </c>
      <c r="R52">
        <f>2*6371000*ASIN(
SQRT(
SIN(RADIANS(extra!$O$7-I52)/2)^2+
COS(RADIANS(I52))*COS(RADIANS(extra!$O$7))*
SIN(RADIANS(extra!$P$7-J52)/2)^2
)
)</f>
        <v>249.63914900007825</v>
      </c>
      <c r="S52">
        <f>2*6371000*ASIN(
SQRT(
SIN(RADIANS(extra!$O$5-I52)/2)^2+
COS(RADIANS(I52))*COS(RADIANS(extra!$O$5))*
SIN(RADIANS(extra!$P$5-J52)/2)^2
)
)</f>
        <v>225.23202873749574</v>
      </c>
      <c r="T52">
        <f>2*6371000*ASIN(
SQRT(
SIN(RADIANS(extra!$O$6-I52)/2)^2+
COS(RADIANS(I52))*COS(RADIANS(extra!$O$6))*
SIN(RADIANS(extra!$P$6-J52)/2)^2
)
)</f>
        <v>144.2345308137551</v>
      </c>
      <c r="U52">
        <f>2*6371000*ASIN(
SQRT(
SIN(RADIANS(extra!$O$3-I52)/2)^2+
COS(RADIANS(I52))*COS(RADIANS(extra!$O$3))*
SIN(RADIANS(extra!$P$3-J52)/2)^2
)
)</f>
        <v>467.61262078967326</v>
      </c>
      <c r="V52">
        <f>2*6371000*ASIN(
SQRT(
SIN(RADIANS(extra!$O$4-I52)/2)^2+
COS(RADIANS(I52))*COS(RADIANS(extra!$O$4))*
SIN(RADIANS(extra!$P$4-J52)/2)^2
)
)</f>
        <v>313.67515939777866</v>
      </c>
      <c r="W52">
        <f t="shared" si="2"/>
        <v>144.2345308137551</v>
      </c>
    </row>
    <row r="53" spans="1:23" x14ac:dyDescent="0.2">
      <c r="A53">
        <v>73</v>
      </c>
      <c r="B53">
        <v>836387016</v>
      </c>
      <c r="C53" t="s">
        <v>69</v>
      </c>
      <c r="D53" s="1" t="s">
        <v>170</v>
      </c>
      <c r="E53" s="1" t="s">
        <v>171</v>
      </c>
      <c r="F53">
        <f t="shared" si="0"/>
        <v>7.1059000492095947</v>
      </c>
      <c r="G53">
        <v>-86</v>
      </c>
      <c r="H53">
        <v>7.25</v>
      </c>
      <c r="I53">
        <v>44.638534999999997</v>
      </c>
      <c r="J53">
        <v>-63.589438999999999</v>
      </c>
      <c r="K53">
        <v>55</v>
      </c>
      <c r="L53">
        <v>7</v>
      </c>
      <c r="M53">
        <v>5</v>
      </c>
      <c r="N53">
        <f t="shared" si="1"/>
        <v>2</v>
      </c>
      <c r="Q53">
        <f>2*6371000*ASIN(
SQRT(
SIN(RADIANS(extra!$O$2-I53)/2)^2+
COS(RADIANS(I53))*COS(RADIANS(extra!$O$2))*
SIN(RADIANS(extra!$P$2-J53)/2)^2
)
)</f>
        <v>211.97408629687251</v>
      </c>
      <c r="R53">
        <f>2*6371000*ASIN(
SQRT(
SIN(RADIANS(extra!$O$7-I53)/2)^2+
COS(RADIANS(I53))*COS(RADIANS(extra!$O$7))*
SIN(RADIANS(extra!$P$7-J53)/2)^2
)
)</f>
        <v>196.28758406499949</v>
      </c>
      <c r="S53">
        <f>2*6371000*ASIN(
SQRT(
SIN(RADIANS(extra!$O$5-I53)/2)^2+
COS(RADIANS(I53))*COS(RADIANS(extra!$O$5))*
SIN(RADIANS(extra!$P$5-J53)/2)^2
)
)</f>
        <v>168.42648067795989</v>
      </c>
      <c r="T53">
        <f>2*6371000*ASIN(
SQRT(
SIN(RADIANS(extra!$O$6-I53)/2)^2+
COS(RADIANS(I53))*COS(RADIANS(extra!$O$6))*
SIN(RADIANS(extra!$P$6-J53)/2)^2
)
)</f>
        <v>106.56082770247741</v>
      </c>
      <c r="U53">
        <f>2*6371000*ASIN(
SQRT(
SIN(RADIANS(extra!$O$3-I53)/2)^2+
COS(RADIANS(I53))*COS(RADIANS(extra!$O$3))*
SIN(RADIANS(extra!$P$3-J53)/2)^2
)
)</f>
        <v>456.70116604479045</v>
      </c>
      <c r="V53">
        <f>2*6371000*ASIN(
SQRT(
SIN(RADIANS(extra!$O$4-I53)/2)^2+
COS(RADIANS(I53))*COS(RADIANS(extra!$O$4))*
SIN(RADIANS(extra!$P$4-J53)/2)^2
)
)</f>
        <v>317.41282742758193</v>
      </c>
      <c r="W53">
        <f t="shared" si="2"/>
        <v>106.56082770247741</v>
      </c>
    </row>
    <row r="54" spans="1:23" x14ac:dyDescent="0.2">
      <c r="A54">
        <v>74</v>
      </c>
      <c r="B54">
        <v>920919241</v>
      </c>
      <c r="C54" t="s">
        <v>69</v>
      </c>
      <c r="D54" s="1" t="s">
        <v>172</v>
      </c>
      <c r="E54" s="1" t="s">
        <v>173</v>
      </c>
      <c r="F54">
        <f t="shared" si="0"/>
        <v>5.4314899444580078</v>
      </c>
      <c r="G54">
        <v>-79</v>
      </c>
      <c r="H54">
        <v>8.5</v>
      </c>
      <c r="I54">
        <v>44.638280999999999</v>
      </c>
      <c r="J54">
        <v>-63.589261999999998</v>
      </c>
      <c r="K54">
        <v>55</v>
      </c>
      <c r="L54">
        <v>7</v>
      </c>
      <c r="M54">
        <v>6</v>
      </c>
      <c r="N54">
        <f t="shared" si="1"/>
        <v>1</v>
      </c>
      <c r="Q54">
        <f>2*6371000*ASIN(
SQRT(
SIN(RADIANS(extra!$O$2-I54)/2)^2+
COS(RADIANS(I54))*COS(RADIANS(extra!$O$2))*
SIN(RADIANS(extra!$P$2-J54)/2)^2
)
)</f>
        <v>184.66118853720073</v>
      </c>
      <c r="R54">
        <f>2*6371000*ASIN(
SQRT(
SIN(RADIANS(extra!$O$7-I54)/2)^2+
COS(RADIANS(I54))*COS(RADIANS(extra!$O$7))*
SIN(RADIANS(extra!$P$7-J54)/2)^2
)
)</f>
        <v>168.15411252889771</v>
      </c>
      <c r="S54">
        <f>2*6371000*ASIN(
SQRT(
SIN(RADIANS(extra!$O$5-I54)/2)^2+
COS(RADIANS(I54))*COS(RADIANS(extra!$O$5))*
SIN(RADIANS(extra!$P$5-J54)/2)^2
)
)</f>
        <v>136.90753966672102</v>
      </c>
      <c r="T54">
        <f>2*6371000*ASIN(
SQRT(
SIN(RADIANS(extra!$O$6-I54)/2)^2+
COS(RADIANS(I54))*COS(RADIANS(extra!$O$6))*
SIN(RADIANS(extra!$P$6-J54)/2)^2
)
)</f>
        <v>93.321276072509093</v>
      </c>
      <c r="U54">
        <f>2*6371000*ASIN(
SQRT(
SIN(RADIANS(extra!$O$3-I54)/2)^2+
COS(RADIANS(I54))*COS(RADIANS(extra!$O$3))*
SIN(RADIANS(extra!$P$3-J54)/2)^2
)
)</f>
        <v>452.57651241772413</v>
      </c>
      <c r="V54">
        <f>2*6371000*ASIN(
SQRT(
SIN(RADIANS(extra!$O$4-I54)/2)^2+
COS(RADIANS(I54))*COS(RADIANS(extra!$O$4))*
SIN(RADIANS(extra!$P$4-J54)/2)^2
)
)</f>
        <v>322.78680736896877</v>
      </c>
      <c r="W54">
        <f t="shared" si="2"/>
        <v>93.321276072509093</v>
      </c>
    </row>
    <row r="55" spans="1:23" x14ac:dyDescent="0.2">
      <c r="A55">
        <v>75</v>
      </c>
      <c r="B55">
        <v>4071558346</v>
      </c>
      <c r="C55" t="s">
        <v>69</v>
      </c>
      <c r="D55" s="1" t="s">
        <v>174</v>
      </c>
      <c r="E55" s="1" t="s">
        <v>175</v>
      </c>
      <c r="F55">
        <f t="shared" si="0"/>
        <v>12.571199893951416</v>
      </c>
      <c r="G55">
        <v>-80</v>
      </c>
      <c r="H55">
        <v>8</v>
      </c>
      <c r="I55">
        <v>44.638050999999997</v>
      </c>
      <c r="J55">
        <v>-63.589108000000003</v>
      </c>
      <c r="K55">
        <v>55</v>
      </c>
      <c r="L55">
        <v>7</v>
      </c>
      <c r="M55">
        <v>6</v>
      </c>
      <c r="N55">
        <f t="shared" si="1"/>
        <v>1</v>
      </c>
      <c r="Q55">
        <f>2*6371000*ASIN(
SQRT(
SIN(RADIANS(extra!$O$2-I55)/2)^2+
COS(RADIANS(I55))*COS(RADIANS(extra!$O$2))*
SIN(RADIANS(extra!$P$2-J55)/2)^2
)
)</f>
        <v>161.70719428967757</v>
      </c>
      <c r="R55">
        <f>2*6371000*ASIN(
SQRT(
SIN(RADIANS(extra!$O$7-I55)/2)^2+
COS(RADIANS(I55))*COS(RADIANS(extra!$O$7))*
SIN(RADIANS(extra!$P$7-J55)/2)^2
)
)</f>
        <v>144.33183509639304</v>
      </c>
      <c r="S55">
        <f>2*6371000*ASIN(
SQRT(
SIN(RADIANS(extra!$O$5-I55)/2)^2+
COS(RADIANS(I55))*COS(RADIANS(extra!$O$5))*
SIN(RADIANS(extra!$P$5-J55)/2)^2
)
)</f>
        <v>108.60327724257378</v>
      </c>
      <c r="T55">
        <f>2*6371000*ASIN(
SQRT(
SIN(RADIANS(extra!$O$6-I55)/2)^2+
COS(RADIANS(I55))*COS(RADIANS(extra!$O$6))*
SIN(RADIANS(extra!$P$6-J55)/2)^2
)
)</f>
        <v>89.145446246405541</v>
      </c>
      <c r="U55">
        <f>2*6371000*ASIN(
SQRT(
SIN(RADIANS(extra!$O$3-I55)/2)^2+
COS(RADIANS(I55))*COS(RADIANS(extra!$O$3))*
SIN(RADIANS(extra!$P$3-J55)/2)^2
)
)</f>
        <v>450.27822525124844</v>
      </c>
      <c r="V55">
        <f>2*6371000*ASIN(
SQRT(
SIN(RADIANS(extra!$O$4-I55)/2)^2+
COS(RADIANS(I55))*COS(RADIANS(extra!$O$4))*
SIN(RADIANS(extra!$P$4-J55)/2)^2
)
)</f>
        <v>329.69361462298667</v>
      </c>
      <c r="W55">
        <f t="shared" si="2"/>
        <v>89.145446246405541</v>
      </c>
    </row>
    <row r="56" spans="1:23" x14ac:dyDescent="0.2">
      <c r="A56">
        <v>77</v>
      </c>
      <c r="B56">
        <v>3610003660</v>
      </c>
      <c r="C56" t="s">
        <v>69</v>
      </c>
      <c r="D56" s="1" t="s">
        <v>176</v>
      </c>
      <c r="E56" s="1" t="s">
        <v>177</v>
      </c>
      <c r="F56">
        <f t="shared" si="0"/>
        <v>2.2323799133300781</v>
      </c>
      <c r="G56">
        <v>-108</v>
      </c>
      <c r="H56">
        <v>-3.75</v>
      </c>
      <c r="I56">
        <v>44.637566</v>
      </c>
      <c r="J56">
        <v>-63.588715999999998</v>
      </c>
      <c r="K56">
        <v>51</v>
      </c>
      <c r="L56">
        <v>7</v>
      </c>
      <c r="M56">
        <v>7</v>
      </c>
      <c r="N56">
        <f t="shared" si="1"/>
        <v>0</v>
      </c>
      <c r="Q56">
        <f>2*6371000*ASIN(
SQRT(
SIN(RADIANS(extra!$O$2-I56)/2)^2+
COS(RADIANS(I56))*COS(RADIANS(extra!$O$2))*
SIN(RADIANS(extra!$P$2-J56)/2)^2
)
)</f>
        <v>115.74539468392744</v>
      </c>
      <c r="R56">
        <f>2*6371000*ASIN(
SQRT(
SIN(RADIANS(extra!$O$7-I56)/2)^2+
COS(RADIANS(I56))*COS(RADIANS(extra!$O$7))*
SIN(RADIANS(extra!$P$7-J56)/2)^2
)
)</f>
        <v>96.701288006406628</v>
      </c>
      <c r="S56">
        <f>2*6371000*ASIN(
SQRT(
SIN(RADIANS(extra!$O$5-I56)/2)^2+
COS(RADIANS(I56))*COS(RADIANS(extra!$O$5))*
SIN(RADIANS(extra!$P$5-J56)/2)^2
)
)</f>
        <v>46.457496228992845</v>
      </c>
      <c r="T56">
        <f>2*6371000*ASIN(
SQRT(
SIN(RADIANS(extra!$O$6-I56)/2)^2+
COS(RADIANS(I56))*COS(RADIANS(extra!$O$6))*
SIN(RADIANS(extra!$P$6-J56)/2)^2
)
)</f>
        <v>112.97247216884294</v>
      </c>
      <c r="U56">
        <f>2*6371000*ASIN(
SQRT(
SIN(RADIANS(extra!$O$3-I56)/2)^2+
COS(RADIANS(I56))*COS(RADIANS(extra!$O$3))*
SIN(RADIANS(extra!$P$3-J56)/2)^2
)
)</f>
        <v>456.24153900772382</v>
      </c>
      <c r="V56">
        <f>2*6371000*ASIN(
SQRT(
SIN(RADIANS(extra!$O$4-I56)/2)^2+
COS(RADIANS(I56))*COS(RADIANS(extra!$O$4))*
SIN(RADIANS(extra!$P$4-J56)/2)^2
)
)</f>
        <v>356.69322187479406</v>
      </c>
      <c r="W56">
        <f t="shared" si="2"/>
        <v>46.457496228992845</v>
      </c>
    </row>
    <row r="57" spans="1:23" x14ac:dyDescent="0.2">
      <c r="A57">
        <v>78</v>
      </c>
      <c r="B57">
        <v>4280706253</v>
      </c>
      <c r="C57" t="s">
        <v>69</v>
      </c>
      <c r="D57" s="1" t="s">
        <v>178</v>
      </c>
      <c r="E57" s="1" t="s">
        <v>179</v>
      </c>
      <c r="F57">
        <f t="shared" si="0"/>
        <v>2.0226500034332275</v>
      </c>
      <c r="G57">
        <v>-102</v>
      </c>
      <c r="H57">
        <v>-0.25</v>
      </c>
      <c r="I57">
        <v>44.637639999999998</v>
      </c>
      <c r="J57">
        <v>-63.588329000000002</v>
      </c>
      <c r="K57">
        <v>50</v>
      </c>
      <c r="L57">
        <v>7</v>
      </c>
      <c r="M57">
        <v>7</v>
      </c>
      <c r="N57">
        <f t="shared" si="1"/>
        <v>0</v>
      </c>
      <c r="Q57">
        <f>2*6371000*ASIN(
SQRT(
SIN(RADIANS(extra!$O$2-I57)/2)^2+
COS(RADIANS(I57))*COS(RADIANS(extra!$O$2))*
SIN(RADIANS(extra!$P$2-J57)/2)^2
)
)</f>
        <v>87.503128621957259</v>
      </c>
      <c r="R57">
        <f>2*6371000*ASIN(
SQRT(
SIN(RADIANS(extra!$O$7-I57)/2)^2+
COS(RADIANS(I57))*COS(RADIANS(extra!$O$7))*
SIN(RADIANS(extra!$P$7-J57)/2)^2
)
)</f>
        <v>69.070650105592279</v>
      </c>
      <c r="S57">
        <f>2*6371000*ASIN(
SQRT(
SIN(RADIANS(extra!$O$5-I57)/2)^2+
COS(RADIANS(I57))*COS(RADIANS(extra!$O$5))*
SIN(RADIANS(extra!$P$5-J57)/2)^2
)
)</f>
        <v>51.099978733045027</v>
      </c>
      <c r="T57">
        <f>2*6371000*ASIN(
SQRT(
SIN(RADIANS(extra!$O$6-I57)/2)^2+
COS(RADIANS(I57))*COS(RADIANS(extra!$O$6))*
SIN(RADIANS(extra!$P$6-J57)/2)^2
)
)</f>
        <v>142.64503652240111</v>
      </c>
      <c r="U57">
        <f>2*6371000*ASIN(
SQRT(
SIN(RADIANS(extra!$O$3-I57)/2)^2+
COS(RADIANS(I57))*COS(RADIANS(extra!$O$3))*
SIN(RADIANS(extra!$P$3-J57)/2)^2
)
)</f>
        <v>487.81382342293779</v>
      </c>
      <c r="V57">
        <f>2*6371000*ASIN(
SQRT(
SIN(RADIANS(extra!$O$4-I57)/2)^2+
COS(RADIANS(I57))*COS(RADIANS(extra!$O$4))*
SIN(RADIANS(extra!$P$4-J57)/2)^2
)
)</f>
        <v>387.34571353091781</v>
      </c>
      <c r="W57">
        <f t="shared" si="2"/>
        <v>51.099978733045027</v>
      </c>
    </row>
    <row r="58" spans="1:23" x14ac:dyDescent="0.2">
      <c r="A58">
        <v>79</v>
      </c>
      <c r="B58">
        <v>2257533134</v>
      </c>
      <c r="C58" t="s">
        <v>69</v>
      </c>
      <c r="D58" s="1" t="s">
        <v>180</v>
      </c>
      <c r="E58" s="1" t="s">
        <v>181</v>
      </c>
      <c r="F58">
        <f t="shared" si="0"/>
        <v>2.2043900489807129</v>
      </c>
      <c r="G58">
        <v>-98</v>
      </c>
      <c r="H58">
        <v>4.75</v>
      </c>
      <c r="I58">
        <v>44.637739000000003</v>
      </c>
      <c r="J58">
        <v>-63.587916999999997</v>
      </c>
      <c r="K58">
        <v>50</v>
      </c>
      <c r="L58">
        <v>7</v>
      </c>
      <c r="M58">
        <v>7</v>
      </c>
      <c r="N58">
        <f t="shared" si="1"/>
        <v>0</v>
      </c>
      <c r="Q58">
        <f>2*6371000*ASIN(
SQRT(
SIN(RADIANS(extra!$O$2-I58)/2)^2+
COS(RADIANS(I58))*COS(RADIANS(extra!$O$2))*
SIN(RADIANS(extra!$P$2-J58)/2)^2
)
)</f>
        <v>62.537208490808688</v>
      </c>
      <c r="R58">
        <f>2*6371000*ASIN(
SQRT(
SIN(RADIANS(extra!$O$7-I58)/2)^2+
COS(RADIANS(I58))*COS(RADIANS(extra!$O$7))*
SIN(RADIANS(extra!$P$7-J58)/2)^2
)
)</f>
        <v>47.498363340718278</v>
      </c>
      <c r="S58">
        <f>2*6371000*ASIN(
SQRT(
SIN(RADIANS(extra!$O$5-I58)/2)^2+
COS(RADIANS(I58))*COS(RADIANS(extra!$O$5))*
SIN(RADIANS(extra!$P$5-J58)/2)^2
)
)</f>
        <v>74.649079767531504</v>
      </c>
      <c r="T58">
        <f>2*6371000*ASIN(
SQRT(
SIN(RADIANS(extra!$O$6-I58)/2)^2+
COS(RADIANS(I58))*COS(RADIANS(extra!$O$6))*
SIN(RADIANS(extra!$P$6-J58)/2)^2
)
)</f>
        <v>175.04418534825433</v>
      </c>
      <c r="U58">
        <f>2*6371000*ASIN(
SQRT(
SIN(RADIANS(extra!$O$3-I58)/2)^2+
COS(RADIANS(I58))*COS(RADIANS(extra!$O$3))*
SIN(RADIANS(extra!$P$3-J58)/2)^2
)
)</f>
        <v>522.20997149607581</v>
      </c>
      <c r="V58">
        <f>2*6371000*ASIN(
SQRT(
SIN(RADIANS(extra!$O$4-I58)/2)^2+
COS(RADIANS(I58))*COS(RADIANS(extra!$O$4))*
SIN(RADIANS(extra!$P$4-J58)/2)^2
)
)</f>
        <v>420.23340682071722</v>
      </c>
      <c r="W58">
        <f t="shared" si="2"/>
        <v>47.498363340718278</v>
      </c>
    </row>
    <row r="59" spans="1:23" x14ac:dyDescent="0.2">
      <c r="A59">
        <v>80</v>
      </c>
      <c r="B59">
        <v>3791966415</v>
      </c>
      <c r="C59" t="s">
        <v>69</v>
      </c>
      <c r="D59">
        <v>1784213758.3526001</v>
      </c>
      <c r="E59" s="1" t="s">
        <v>182</v>
      </c>
      <c r="F59">
        <f t="shared" si="0"/>
        <v>2.0721797943115234</v>
      </c>
      <c r="G59">
        <v>-92</v>
      </c>
      <c r="H59">
        <v>8</v>
      </c>
      <c r="I59">
        <v>44.637554000000002</v>
      </c>
      <c r="J59">
        <v>-63.587617000000002</v>
      </c>
      <c r="K59">
        <v>49</v>
      </c>
      <c r="L59">
        <v>7</v>
      </c>
      <c r="M59">
        <v>7</v>
      </c>
      <c r="N59">
        <f t="shared" si="1"/>
        <v>0</v>
      </c>
      <c r="Q59">
        <f>2*6371000*ASIN(
SQRT(
SIN(RADIANS(extra!$O$2-I59)/2)^2+
COS(RADIANS(I59))*COS(RADIANS(extra!$O$2))*
SIN(RADIANS(extra!$P$2-J59)/2)^2
)
)</f>
        <v>31.483508153937535</v>
      </c>
      <c r="R59">
        <f>2*6371000*ASIN(
SQRT(
SIN(RADIANS(extra!$O$7-I59)/2)^2+
COS(RADIANS(I59))*COS(RADIANS(extra!$O$7))*
SIN(RADIANS(extra!$P$7-J59)/2)^2
)
)</f>
        <v>16.656219071636333</v>
      </c>
      <c r="S59">
        <f>2*6371000*ASIN(
SQRT(
SIN(RADIANS(extra!$O$5-I59)/2)^2+
COS(RADIANS(I59))*COS(RADIANS(extra!$O$5))*
SIN(RADIANS(extra!$P$5-J59)/2)^2
)
)</f>
        <v>78.020347551458244</v>
      </c>
      <c r="T59">
        <f>2*6371000*ASIN(
SQRT(
SIN(RADIANS(extra!$O$6-I59)/2)^2+
COS(RADIANS(I59))*COS(RADIANS(extra!$O$6))*
SIN(RADIANS(extra!$P$6-J59)/2)^2
)
)</f>
        <v>199.53040917757076</v>
      </c>
      <c r="U59">
        <f>2*6371000*ASIN(
SQRT(
SIN(RADIANS(extra!$O$3-I59)/2)^2+
COS(RADIANS(I59))*COS(RADIANS(extra!$O$3))*
SIN(RADIANS(extra!$P$3-J59)/2)^2
)
)</f>
        <v>538.15830460481675</v>
      </c>
      <c r="V59">
        <f>2*6371000*ASIN(
SQRT(
SIN(RADIANS(extra!$O$4-I59)/2)^2+
COS(RADIANS(I59))*COS(RADIANS(extra!$O$4))*
SIN(RADIANS(extra!$P$4-J59)/2)^2
)
)</f>
        <v>443.65675359491553</v>
      </c>
      <c r="W59">
        <f t="shared" si="2"/>
        <v>16.656219071636333</v>
      </c>
    </row>
    <row r="60" spans="1:23" x14ac:dyDescent="0.2">
      <c r="A60">
        <v>81</v>
      </c>
      <c r="B60">
        <v>2606663888</v>
      </c>
      <c r="C60" t="s">
        <v>69</v>
      </c>
      <c r="D60" s="1" t="s">
        <v>183</v>
      </c>
      <c r="E60" s="1" t="s">
        <v>184</v>
      </c>
      <c r="F60">
        <f t="shared" si="0"/>
        <v>2.0957498550415039</v>
      </c>
      <c r="G60">
        <v>-92</v>
      </c>
      <c r="H60">
        <v>8</v>
      </c>
      <c r="I60">
        <v>44.637613999999999</v>
      </c>
      <c r="J60">
        <v>-63.587437000000001</v>
      </c>
      <c r="K60">
        <v>48</v>
      </c>
      <c r="L60">
        <v>7</v>
      </c>
      <c r="M60">
        <v>7</v>
      </c>
      <c r="N60">
        <f t="shared" si="1"/>
        <v>0</v>
      </c>
      <c r="Q60">
        <f>2*6371000*ASIN(
SQRT(
SIN(RADIANS(extra!$O$2-I60)/2)^2+
COS(RADIANS(I60))*COS(RADIANS(extra!$O$2))*
SIN(RADIANS(extra!$P$2-J60)/2)^2
)
)</f>
        <v>25.569318103554203</v>
      </c>
      <c r="R60">
        <f>2*6371000*ASIN(
SQRT(
SIN(RADIANS(extra!$O$7-I60)/2)^2+
COS(RADIANS(I60))*COS(RADIANS(extra!$O$7))*
SIN(RADIANS(extra!$P$7-J60)/2)^2
)
)</f>
        <v>21.795116976853119</v>
      </c>
      <c r="S60">
        <f>2*6371000*ASIN(
SQRT(
SIN(RADIANS(extra!$O$5-I60)/2)^2+
COS(RADIANS(I60))*COS(RADIANS(extra!$O$5))*
SIN(RADIANS(extra!$P$5-J60)/2)^2
)
)</f>
        <v>93.672292609193775</v>
      </c>
      <c r="T60">
        <f>2*6371000*ASIN(
SQRT(
SIN(RADIANS(extra!$O$6-I60)/2)^2+
COS(RADIANS(I60))*COS(RADIANS(extra!$O$6))*
SIN(RADIANS(extra!$P$6-J60)/2)^2
)
)</f>
        <v>213.27592036642193</v>
      </c>
      <c r="U60">
        <f>2*6371000*ASIN(
SQRT(
SIN(RADIANS(extra!$O$3-I60)/2)^2+
COS(RADIANS(I60))*COS(RADIANS(extra!$O$3))*
SIN(RADIANS(extra!$P$3-J60)/2)^2
)
)</f>
        <v>553.7376135060432</v>
      </c>
      <c r="V60">
        <f>2*6371000*ASIN(
SQRT(
SIN(RADIANS(extra!$O$4-I60)/2)^2+
COS(RADIANS(I60))*COS(RADIANS(extra!$O$4))*
SIN(RADIANS(extra!$P$4-J60)/2)^2
)
)</f>
        <v>457.88992957455412</v>
      </c>
      <c r="W60">
        <f t="shared" si="2"/>
        <v>21.795116976853119</v>
      </c>
    </row>
    <row r="61" spans="1:23" x14ac:dyDescent="0.2">
      <c r="A61">
        <v>82</v>
      </c>
      <c r="B61">
        <v>2082865361</v>
      </c>
      <c r="C61" t="s">
        <v>69</v>
      </c>
      <c r="D61">
        <v>1784213798.5977001</v>
      </c>
      <c r="E61" s="1" t="s">
        <v>185</v>
      </c>
      <c r="F61">
        <f t="shared" si="0"/>
        <v>2.1098599433898926</v>
      </c>
      <c r="G61">
        <v>-72</v>
      </c>
      <c r="H61">
        <v>9</v>
      </c>
      <c r="I61">
        <v>44.637611999999997</v>
      </c>
      <c r="J61">
        <v>-63.587446</v>
      </c>
      <c r="K61">
        <v>48</v>
      </c>
      <c r="L61">
        <v>7</v>
      </c>
      <c r="M61">
        <v>7</v>
      </c>
      <c r="N61">
        <f t="shared" si="1"/>
        <v>0</v>
      </c>
      <c r="Q61">
        <f>2*6371000*ASIN(
SQRT(
SIN(RADIANS(extra!$O$2-I61)/2)^2+
COS(RADIANS(I61))*COS(RADIANS(extra!$O$2))*
SIN(RADIANS(extra!$P$2-J61)/2)^2
)
)</f>
        <v>25.762318016166127</v>
      </c>
      <c r="R61">
        <f>2*6371000*ASIN(
SQRT(
SIN(RADIANS(extra!$O$7-I61)/2)^2+
COS(RADIANS(I61))*COS(RADIANS(extra!$O$7))*
SIN(RADIANS(extra!$P$7-J61)/2)^2
)
)</f>
        <v>21.401170961053595</v>
      </c>
      <c r="S61">
        <f>2*6371000*ASIN(
SQRT(
SIN(RADIANS(extra!$O$5-I61)/2)^2+
COS(RADIANS(I61))*COS(RADIANS(extra!$O$5))*
SIN(RADIANS(extra!$P$5-J61)/2)^2
)
)</f>
        <v>92.945178816733986</v>
      </c>
      <c r="T61">
        <f>2*6371000*ASIN(
SQRT(
SIN(RADIANS(extra!$O$6-I61)/2)^2+
COS(RADIANS(I61))*COS(RADIANS(extra!$O$6))*
SIN(RADIANS(extra!$P$6-J61)/2)^2
)
)</f>
        <v>212.57627295292144</v>
      </c>
      <c r="U61">
        <f>2*6371000*ASIN(
SQRT(
SIN(RADIANS(extra!$O$3-I61)/2)^2+
COS(RADIANS(I61))*COS(RADIANS(extra!$O$3))*
SIN(RADIANS(extra!$P$3-J61)/2)^2
)
)</f>
        <v>552.99159333733689</v>
      </c>
      <c r="V61">
        <f>2*6371000*ASIN(
SQRT(
SIN(RADIANS(extra!$O$4-I61)/2)^2+
COS(RADIANS(I61))*COS(RADIANS(extra!$O$4))*
SIN(RADIANS(extra!$P$4-J61)/2)^2
)
)</f>
        <v>457.17655058974287</v>
      </c>
      <c r="W61">
        <f t="shared" si="2"/>
        <v>21.401170961053595</v>
      </c>
    </row>
    <row r="62" spans="1:23" x14ac:dyDescent="0.2">
      <c r="A62">
        <v>83</v>
      </c>
      <c r="B62">
        <v>1691670738</v>
      </c>
      <c r="C62" t="s">
        <v>69</v>
      </c>
      <c r="D62" s="1" t="s">
        <v>186</v>
      </c>
      <c r="E62" s="1" t="s">
        <v>187</v>
      </c>
      <c r="F62">
        <f t="shared" si="0"/>
        <v>2.1185400485992432</v>
      </c>
      <c r="G62">
        <v>-49</v>
      </c>
      <c r="H62">
        <v>10.5</v>
      </c>
      <c r="I62">
        <v>44.637579000000002</v>
      </c>
      <c r="J62">
        <v>-63.587156</v>
      </c>
      <c r="K62">
        <v>50</v>
      </c>
      <c r="L62">
        <v>7</v>
      </c>
      <c r="M62">
        <v>7</v>
      </c>
      <c r="N62">
        <f t="shared" si="1"/>
        <v>0</v>
      </c>
      <c r="Q62">
        <f>2*6371000*ASIN(
SQRT(
SIN(RADIANS(extra!$O$2-I62)/2)^2+
COS(RADIANS(I62))*COS(RADIANS(extra!$O$2))*
SIN(RADIANS(extra!$P$2-J62)/2)^2
)
)</f>
        <v>19.975623676386199</v>
      </c>
      <c r="R62">
        <f>2*6371000*ASIN(
SQRT(
SIN(RADIANS(extra!$O$7-I62)/2)^2+
COS(RADIANS(I62))*COS(RADIANS(extra!$O$7))*
SIN(RADIANS(extra!$P$7-J62)/2)^2
)
)</f>
        <v>32.829221865919557</v>
      </c>
      <c r="S62">
        <f>2*6371000*ASIN(
SQRT(
SIN(RADIANS(extra!$O$5-I62)/2)^2+
COS(RADIANS(I62))*COS(RADIANS(extra!$O$5))*
SIN(RADIANS(extra!$P$5-J62)/2)^2
)
)</f>
        <v>111.87615296136022</v>
      </c>
      <c r="T62">
        <f>2*6371000*ASIN(
SQRT(
SIN(RADIANS(extra!$O$6-I62)/2)^2+
COS(RADIANS(I62))*COS(RADIANS(extra!$O$6))*
SIN(RADIANS(extra!$P$6-J62)/2)^2
)
)</f>
        <v>235.69523053585863</v>
      </c>
      <c r="U62">
        <f>2*6371000*ASIN(
SQRT(
SIN(RADIANS(extra!$O$3-I62)/2)^2+
COS(RADIANS(I62))*COS(RADIANS(extra!$O$3))*
SIN(RADIANS(extra!$P$3-J62)/2)^2
)
)</f>
        <v>573.89260278808854</v>
      </c>
      <c r="V62">
        <f>2*6371000*ASIN(
SQRT(
SIN(RADIANS(extra!$O$4-I62)/2)^2+
COS(RADIANS(I62))*COS(RADIANS(extra!$O$4))*
SIN(RADIANS(extra!$P$4-J62)/2)^2
)
)</f>
        <v>480.11632583079779</v>
      </c>
      <c r="W62">
        <f t="shared" si="2"/>
        <v>19.975623676386199</v>
      </c>
    </row>
    <row r="63" spans="1:23" x14ac:dyDescent="0.2">
      <c r="A63">
        <v>84</v>
      </c>
      <c r="B63">
        <v>3206666451</v>
      </c>
      <c r="C63" t="s">
        <v>69</v>
      </c>
      <c r="D63" s="1" t="s">
        <v>188</v>
      </c>
      <c r="E63" s="1" t="s">
        <v>189</v>
      </c>
      <c r="F63">
        <f t="shared" si="0"/>
        <v>1.9764900207519531</v>
      </c>
      <c r="G63">
        <v>-44</v>
      </c>
      <c r="H63">
        <v>9.5</v>
      </c>
      <c r="I63">
        <v>44.637686000000002</v>
      </c>
      <c r="J63">
        <v>-63.587086999999997</v>
      </c>
      <c r="K63">
        <v>48</v>
      </c>
      <c r="L63">
        <v>7</v>
      </c>
      <c r="M63">
        <v>7</v>
      </c>
      <c r="N63">
        <f t="shared" si="1"/>
        <v>0</v>
      </c>
      <c r="Q63">
        <f>2*6371000*ASIN(
SQRT(
SIN(RADIANS(extra!$O$2-I63)/2)^2+
COS(RADIANS(I63))*COS(RADIANS(extra!$O$2))*
SIN(RADIANS(extra!$P$2-J63)/2)^2
)
)</f>
        <v>33.062823279114916</v>
      </c>
      <c r="R63">
        <f>2*6371000*ASIN(
SQRT(
SIN(RADIANS(extra!$O$7-I63)/2)^2+
COS(RADIANS(I63))*COS(RADIANS(extra!$O$7))*
SIN(RADIANS(extra!$P$7-J63)/2)^2
)
)</f>
        <v>44.299331396992294</v>
      </c>
      <c r="S63">
        <f>2*6371000*ASIN(
SQRT(
SIN(RADIANS(extra!$O$5-I63)/2)^2+
COS(RADIANS(I63))*COS(RADIANS(extra!$O$5))*
SIN(RADIANS(extra!$P$5-J63)/2)^2
)
)</f>
        <v>121.8337744955199</v>
      </c>
      <c r="T63">
        <f>2*6371000*ASIN(
SQRT(
SIN(RADIANS(extra!$O$6-I63)/2)^2+
COS(RADIANS(I63))*COS(RADIANS(extra!$O$6))*
SIN(RADIANS(extra!$P$6-J63)/2)^2
)
)</f>
        <v>240.70738425429235</v>
      </c>
      <c r="U63">
        <f>2*6371000*ASIN(
SQRT(
SIN(RADIANS(extra!$O$3-I63)/2)^2+
COS(RADIANS(I63))*COS(RADIANS(extra!$O$3))*
SIN(RADIANS(extra!$P$3-J63)/2)^2
)
)</f>
        <v>582.55826178722009</v>
      </c>
      <c r="V63">
        <f>2*6371000*ASIN(
SQRT(
SIN(RADIANS(extra!$O$4-I63)/2)^2+
COS(RADIANS(I63))*COS(RADIANS(extra!$O$4))*
SIN(RADIANS(extra!$P$4-J63)/2)^2
)
)</f>
        <v>485.69381693176331</v>
      </c>
      <c r="W63">
        <f t="shared" si="2"/>
        <v>33.062823279114916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F739-6388-4148-A059-6611E59D4738}">
  <dimension ref="A1:U63"/>
  <sheetViews>
    <sheetView topLeftCell="M1" zoomScale="214" workbookViewId="0">
      <selection activeCell="O8" sqref="O8"/>
    </sheetView>
  </sheetViews>
  <sheetFormatPr baseColWidth="10" defaultRowHeight="16" x14ac:dyDescent="0.2"/>
  <cols>
    <col min="7" max="7" width="10.83203125" style="3"/>
    <col min="12" max="12" width="23.6640625" customWidth="1"/>
    <col min="13" max="13" width="28.5" customWidth="1"/>
  </cols>
  <sheetData>
    <row r="1" spans="1:21" x14ac:dyDescent="0.2">
      <c r="A1" t="s">
        <v>65</v>
      </c>
      <c r="B1" t="s">
        <v>66</v>
      </c>
      <c r="D1" t="s">
        <v>66</v>
      </c>
      <c r="E1" t="s">
        <v>67</v>
      </c>
      <c r="H1" t="s">
        <v>65</v>
      </c>
      <c r="I1" t="s">
        <v>66</v>
      </c>
      <c r="J1" t="s">
        <v>190</v>
      </c>
      <c r="K1" t="s">
        <v>66</v>
      </c>
      <c r="L1" t="s">
        <v>191</v>
      </c>
      <c r="M1" t="s">
        <v>192</v>
      </c>
      <c r="N1" t="s">
        <v>193</v>
      </c>
      <c r="O1" t="s">
        <v>7</v>
      </c>
      <c r="P1" t="s">
        <v>199</v>
      </c>
    </row>
    <row r="2" spans="1:21" x14ac:dyDescent="0.2">
      <c r="A2">
        <f>dynamic_test_3hop!E2-dynamic_test_3hop!D2</f>
        <v>2.3019499778747559</v>
      </c>
      <c r="B2">
        <f>dynamic_test_3hop!L2-dynamic_test_3hop!M2</f>
        <v>0</v>
      </c>
      <c r="D2">
        <v>0</v>
      </c>
      <c r="E2">
        <f>AVERAGE(A2:A9)</f>
        <v>1.9413837194442749</v>
      </c>
      <c r="H2">
        <f>dynamic_test_7hop!E2-dynamic_test_7hop!D2</f>
        <v>1.8495399951934814</v>
      </c>
      <c r="I2">
        <f>dynamic_test_7hop!L2-dynamic_test_7hop!M2</f>
        <v>0</v>
      </c>
      <c r="J2">
        <f>AVERAGE(H2:H22)</f>
        <v>2.1130033107030961</v>
      </c>
      <c r="K2">
        <v>0</v>
      </c>
      <c r="L2">
        <f>J2</f>
        <v>2.1130033107030961</v>
      </c>
      <c r="M2">
        <f>AVERAGE(L2:L7)</f>
        <v>2.621930073829692</v>
      </c>
      <c r="N2" t="s">
        <v>194</v>
      </c>
      <c r="O2" s="4">
        <v>44.637417999999997</v>
      </c>
      <c r="P2">
        <v>-63.587268000000002</v>
      </c>
      <c r="U2">
        <v>1</v>
      </c>
    </row>
    <row r="3" spans="1:21" x14ac:dyDescent="0.2">
      <c r="A3">
        <f>dynamic_test_3hop!E3-dynamic_test_3hop!D3</f>
        <v>2.1058402061462402</v>
      </c>
      <c r="B3">
        <f>dynamic_test_3hop!L3-dynamic_test_3hop!M3</f>
        <v>0</v>
      </c>
      <c r="D3">
        <v>1</v>
      </c>
      <c r="E3">
        <f>AVERAGE(A10:A18)</f>
        <v>4.1686044534047442</v>
      </c>
      <c r="H3">
        <f>dynamic_test_7hop!E3-dynamic_test_7hop!D3</f>
        <v>2.0892601013183594</v>
      </c>
      <c r="I3">
        <f>dynamic_test_7hop!L3-dynamic_test_7hop!M3</f>
        <v>0</v>
      </c>
      <c r="J3">
        <f>AVERAGE(H23:H33)</f>
        <v>6.506148164922541</v>
      </c>
      <c r="K3">
        <v>1</v>
      </c>
      <c r="L3">
        <f>J3/2</f>
        <v>3.2530740824612705</v>
      </c>
      <c r="N3" t="s">
        <v>195</v>
      </c>
      <c r="O3" s="4">
        <v>44.636128999999997</v>
      </c>
      <c r="P3">
        <v>-63.594116999999997</v>
      </c>
      <c r="U3">
        <v>2</v>
      </c>
    </row>
    <row r="4" spans="1:21" x14ac:dyDescent="0.2">
      <c r="A4">
        <f>dynamic_test_3hop!E4-dynamic_test_3hop!D4</f>
        <v>1.967479944229126</v>
      </c>
      <c r="B4">
        <f>dynamic_test_3hop!L4-dynamic_test_3hop!M4</f>
        <v>0</v>
      </c>
      <c r="D4">
        <v>2</v>
      </c>
      <c r="E4">
        <f>AVERAGE(A19:A23)</f>
        <v>7.8653579711914059</v>
      </c>
      <c r="H4">
        <f>dynamic_test_7hop!E4-dynamic_test_7hop!D4</f>
        <v>1.7227399349212646</v>
      </c>
      <c r="I4">
        <f>dynamic_test_7hop!L4-dynamic_test_7hop!M4</f>
        <v>0</v>
      </c>
      <c r="J4">
        <f>AVERAGE(H34:H46)</f>
        <v>8.0732391980978164</v>
      </c>
      <c r="K4">
        <v>2</v>
      </c>
      <c r="L4">
        <f>J4/3</f>
        <v>2.6910797326992721</v>
      </c>
      <c r="N4" t="s">
        <v>12</v>
      </c>
      <c r="O4">
        <v>44.637588999999998</v>
      </c>
      <c r="P4">
        <v>-63.593223999999999</v>
      </c>
      <c r="U4">
        <v>3</v>
      </c>
    </row>
    <row r="5" spans="1:21" x14ac:dyDescent="0.2">
      <c r="A5">
        <f>dynamic_test_3hop!E5-dynamic_test_3hop!D5</f>
        <v>1.9147400856018066</v>
      </c>
      <c r="B5">
        <f>dynamic_test_3hop!L5-dynamic_test_3hop!M5</f>
        <v>0</v>
      </c>
      <c r="D5">
        <v>3</v>
      </c>
      <c r="E5">
        <f>AVERAGE(A24:A27)</f>
        <v>8.5884600281715393</v>
      </c>
      <c r="H5">
        <f>dynamic_test_7hop!E5-dynamic_test_7hop!D5</f>
        <v>2.5774099826812744</v>
      </c>
      <c r="I5">
        <f>dynamic_test_7hop!L5-dynamic_test_7hop!M5</f>
        <v>0</v>
      </c>
      <c r="J5">
        <f>AVERAGE(H47:H61)</f>
        <v>9.9824359734853108</v>
      </c>
      <c r="K5">
        <v>3</v>
      </c>
      <c r="L5">
        <f>J5/4</f>
        <v>2.4956089933713277</v>
      </c>
      <c r="N5" t="s">
        <v>196</v>
      </c>
      <c r="O5" s="4">
        <v>44.637189999999997</v>
      </c>
      <c r="P5">
        <v>-63.588459999999998</v>
      </c>
      <c r="U5">
        <v>4</v>
      </c>
    </row>
    <row r="6" spans="1:21" x14ac:dyDescent="0.2">
      <c r="A6">
        <f>dynamic_test_3hop!E24-dynamic_test_3hop!D24</f>
        <v>1.7644999027252197</v>
      </c>
      <c r="B6">
        <f>dynamic_test_3hop!L24-dynamic_test_3hop!M24</f>
        <v>0</v>
      </c>
      <c r="H6">
        <f>dynamic_test_7hop!E6-dynamic_test_7hop!D6</f>
        <v>1.9299499988555908</v>
      </c>
      <c r="I6">
        <f>dynamic_test_7hop!L6-dynamic_test_7hop!M6</f>
        <v>0</v>
      </c>
      <c r="J6">
        <f>AVERAGE(H62)</f>
        <v>11.986779928207397</v>
      </c>
      <c r="K6">
        <v>4</v>
      </c>
      <c r="L6">
        <f>J6/5</f>
        <v>2.3973559856414797</v>
      </c>
      <c r="N6" t="s">
        <v>197</v>
      </c>
      <c r="O6" s="4">
        <v>44.637712000000001</v>
      </c>
      <c r="P6">
        <v>-63.590128999999997</v>
      </c>
      <c r="U6">
        <v>5</v>
      </c>
    </row>
    <row r="7" spans="1:21" x14ac:dyDescent="0.2">
      <c r="A7">
        <f>dynamic_test_3hop!E25-dynamic_test_3hop!D25</f>
        <v>1.9056298732757568</v>
      </c>
      <c r="B7">
        <f>dynamic_test_3hop!L25-dynamic_test_3hop!M25</f>
        <v>0</v>
      </c>
      <c r="H7">
        <f>dynamic_test_7hop!E7-dynamic_test_7hop!D7</f>
        <v>2.0154600143432617</v>
      </c>
      <c r="I7">
        <f>dynamic_test_7hop!L7-dynamic_test_7hop!M7</f>
        <v>0</v>
      </c>
      <c r="J7">
        <f>AVERAGE(H63)</f>
        <v>16.688750028610229</v>
      </c>
      <c r="K7">
        <v>5</v>
      </c>
      <c r="L7">
        <f>J7/6</f>
        <v>2.7814583381017051</v>
      </c>
      <c r="N7" t="s">
        <v>198</v>
      </c>
      <c r="O7" s="4">
        <v>44.637425</v>
      </c>
      <c r="P7">
        <v>-63.587510000000002</v>
      </c>
      <c r="U7">
        <v>6</v>
      </c>
    </row>
    <row r="8" spans="1:21" x14ac:dyDescent="0.2">
      <c r="A8">
        <f>dynamic_test_3hop!E26-dynamic_test_3hop!D26</f>
        <v>1.7715299129486084</v>
      </c>
      <c r="B8">
        <f>dynamic_test_3hop!L26-dynamic_test_3hop!M26</f>
        <v>0</v>
      </c>
      <c r="H8">
        <f>dynamic_test_7hop!E8-dynamic_test_7hop!D8</f>
        <v>3.5180301666259766</v>
      </c>
      <c r="I8">
        <f>dynamic_test_7hop!L8-dynamic_test_7hop!M8</f>
        <v>0</v>
      </c>
    </row>
    <row r="9" spans="1:21" x14ac:dyDescent="0.2">
      <c r="A9">
        <f>dynamic_test_3hop!E27-dynamic_test_3hop!D27</f>
        <v>1.7993998527526855</v>
      </c>
      <c r="B9">
        <f>dynamic_test_3hop!L27-dynamic_test_3hop!M27</f>
        <v>0</v>
      </c>
      <c r="H9">
        <f>dynamic_test_7hop!E9-dynamic_test_7hop!D9</f>
        <v>1.891049861907959</v>
      </c>
      <c r="I9">
        <f>dynamic_test_7hop!L9-dynamic_test_7hop!M9</f>
        <v>0</v>
      </c>
    </row>
    <row r="10" spans="1:21" x14ac:dyDescent="0.2">
      <c r="A10">
        <f>dynamic_test_3hop!E6-dynamic_test_3hop!D6</f>
        <v>4.7517600059509277</v>
      </c>
      <c r="B10">
        <f>dynamic_test_3hop!L6-dynamic_test_3hop!M6</f>
        <v>1</v>
      </c>
      <c r="H10">
        <f>dynamic_test_7hop!E10-dynamic_test_7hop!D10</f>
        <v>1.950390100479126</v>
      </c>
      <c r="I10">
        <f>dynamic_test_7hop!L10-dynamic_test_7hop!M10</f>
        <v>0</v>
      </c>
    </row>
    <row r="11" spans="1:21" x14ac:dyDescent="0.2">
      <c r="A11">
        <f>dynamic_test_3hop!E7-dynamic_test_3hop!D7</f>
        <v>4.1999001502990723</v>
      </c>
      <c r="B11">
        <f>dynamic_test_3hop!L7-dynamic_test_3hop!M7</f>
        <v>1</v>
      </c>
      <c r="H11">
        <f>dynamic_test_7hop!E11-dynamic_test_7hop!D11</f>
        <v>1.890859842300415</v>
      </c>
      <c r="I11">
        <f>dynamic_test_7hop!L11-dynamic_test_7hop!M11</f>
        <v>0</v>
      </c>
    </row>
    <row r="12" spans="1:21" x14ac:dyDescent="0.2">
      <c r="A12">
        <f>dynamic_test_3hop!E13-dynamic_test_3hop!D13</f>
        <v>4.1137499809265137</v>
      </c>
      <c r="B12">
        <f>dynamic_test_3hop!L13-dynamic_test_3hop!M13</f>
        <v>1</v>
      </c>
      <c r="H12">
        <f>dynamic_test_7hop!E12-dynamic_test_7hop!D12</f>
        <v>1.8667199611663818</v>
      </c>
      <c r="I12">
        <f>dynamic_test_7hop!L12-dynamic_test_7hop!M12</f>
        <v>0</v>
      </c>
    </row>
    <row r="13" spans="1:21" x14ac:dyDescent="0.2">
      <c r="A13">
        <f>dynamic_test_3hop!E14-dynamic_test_3hop!D14</f>
        <v>4.3341701030731201</v>
      </c>
      <c r="B13">
        <f>dynamic_test_3hop!L14-dynamic_test_3hop!M14</f>
        <v>1</v>
      </c>
      <c r="H13">
        <f>dynamic_test_7hop!E13-dynamic_test_7hop!D13</f>
        <v>2.1085600852966309</v>
      </c>
      <c r="I13">
        <f>dynamic_test_7hop!L13-dynamic_test_7hop!M13</f>
        <v>0</v>
      </c>
    </row>
    <row r="14" spans="1:21" x14ac:dyDescent="0.2">
      <c r="A14">
        <f>dynamic_test_3hop!E15-dynamic_test_3hop!D15</f>
        <v>3.7421598434448242</v>
      </c>
      <c r="B14">
        <f>dynamic_test_3hop!L15-dynamic_test_3hop!M15</f>
        <v>1</v>
      </c>
      <c r="H14">
        <f>dynamic_test_7hop!E22-dynamic_test_7hop!D22</f>
        <v>2.1308598518371582</v>
      </c>
      <c r="I14">
        <f>dynamic_test_7hop!L22-dynamic_test_7hop!M22</f>
        <v>0</v>
      </c>
    </row>
    <row r="15" spans="1:21" x14ac:dyDescent="0.2">
      <c r="A15">
        <f>dynamic_test_3hop!E18-dynamic_test_3hop!D18</f>
        <v>3.8282899856567383</v>
      </c>
      <c r="B15">
        <f>dynamic_test_3hop!L18-dynamic_test_3hop!M18</f>
        <v>1</v>
      </c>
      <c r="H15">
        <f>dynamic_test_7hop!E56-dynamic_test_7hop!D56</f>
        <v>2.2323799133300781</v>
      </c>
      <c r="I15">
        <f>dynamic_test_7hop!L56-dynamic_test_7hop!M56</f>
        <v>0</v>
      </c>
    </row>
    <row r="16" spans="1:21" x14ac:dyDescent="0.2">
      <c r="A16">
        <f>dynamic_test_3hop!E21-dynamic_test_3hop!D21</f>
        <v>4.2176499366760254</v>
      </c>
      <c r="B16">
        <f>dynamic_test_3hop!L21-dynamic_test_3hop!M21</f>
        <v>1</v>
      </c>
      <c r="H16">
        <f>dynamic_test_7hop!E57-dynamic_test_7hop!D57</f>
        <v>2.0226500034332275</v>
      </c>
      <c r="I16">
        <f>dynamic_test_7hop!L57-dynamic_test_7hop!M57</f>
        <v>0</v>
      </c>
    </row>
    <row r="17" spans="1:9" x14ac:dyDescent="0.2">
      <c r="A17">
        <f>dynamic_test_3hop!E22-dynamic_test_3hop!D22</f>
        <v>4.0689401626586914</v>
      </c>
      <c r="B17">
        <f>dynamic_test_3hop!L22-dynamic_test_3hop!M22</f>
        <v>1</v>
      </c>
      <c r="H17">
        <f>dynamic_test_7hop!E58-dynamic_test_7hop!D58</f>
        <v>2.2043900489807129</v>
      </c>
      <c r="I17">
        <f>dynamic_test_7hop!L58-dynamic_test_7hop!M58</f>
        <v>0</v>
      </c>
    </row>
    <row r="18" spans="1:9" x14ac:dyDescent="0.2">
      <c r="A18">
        <f>dynamic_test_3hop!E23-dynamic_test_3hop!D23</f>
        <v>4.2608199119567871</v>
      </c>
      <c r="B18">
        <f>dynamic_test_3hop!L23-dynamic_test_3hop!M23</f>
        <v>1</v>
      </c>
      <c r="H18">
        <f>dynamic_test_7hop!E59-dynamic_test_7hop!D59</f>
        <v>2.0721797943115234</v>
      </c>
      <c r="I18">
        <f>dynamic_test_7hop!L59-dynamic_test_7hop!M59</f>
        <v>0</v>
      </c>
    </row>
    <row r="19" spans="1:9" x14ac:dyDescent="0.2">
      <c r="A19">
        <f>dynamic_test_3hop!E8-dynamic_test_3hop!D8</f>
        <v>7.3002099990844727</v>
      </c>
      <c r="B19">
        <f>dynamic_test_3hop!L8-dynamic_test_3hop!M8</f>
        <v>2</v>
      </c>
      <c r="H19">
        <f>dynamic_test_7hop!E60-dynamic_test_7hop!D60</f>
        <v>2.0957498550415039</v>
      </c>
      <c r="I19">
        <f>dynamic_test_7hop!L60-dynamic_test_7hop!M60</f>
        <v>0</v>
      </c>
    </row>
    <row r="20" spans="1:9" x14ac:dyDescent="0.2">
      <c r="A20">
        <f>dynamic_test_3hop!E12-dynamic_test_3hop!D12</f>
        <v>7.0053699016571045</v>
      </c>
      <c r="B20">
        <f>dynamic_test_3hop!L12-dynamic_test_3hop!M12</f>
        <v>2</v>
      </c>
      <c r="H20">
        <f>dynamic_test_7hop!E61-dynamic_test_7hop!D61</f>
        <v>2.1098599433898926</v>
      </c>
      <c r="I20">
        <f>dynamic_test_7hop!L61-dynamic_test_7hop!M61</f>
        <v>0</v>
      </c>
    </row>
    <row r="21" spans="1:9" x14ac:dyDescent="0.2">
      <c r="A21">
        <f>dynamic_test_3hop!E16-dynamic_test_3hop!D16</f>
        <v>10.039010047912598</v>
      </c>
      <c r="B21">
        <f>dynamic_test_3hop!L16-dynamic_test_3hop!M16</f>
        <v>2</v>
      </c>
      <c r="H21">
        <f>dynamic_test_7hop!E62-dynamic_test_7hop!D62</f>
        <v>2.1185400485992432</v>
      </c>
      <c r="I21">
        <f>dynamic_test_7hop!L62-dynamic_test_7hop!M62</f>
        <v>0</v>
      </c>
    </row>
    <row r="22" spans="1:9" x14ac:dyDescent="0.2">
      <c r="A22">
        <f>dynamic_test_3hop!E17-dynamic_test_3hop!D17</f>
        <v>6.6926100254058838</v>
      </c>
      <c r="B22">
        <f>dynamic_test_3hop!L17-dynamic_test_3hop!M17</f>
        <v>2</v>
      </c>
      <c r="H22">
        <f>dynamic_test_7hop!E63-dynamic_test_7hop!D63</f>
        <v>1.9764900207519531</v>
      </c>
      <c r="I22">
        <f>dynamic_test_7hop!L63-dynamic_test_7hop!M63</f>
        <v>0</v>
      </c>
    </row>
    <row r="23" spans="1:9" x14ac:dyDescent="0.2">
      <c r="A23">
        <f>dynamic_test_3hop!E20-dynamic_test_3hop!D20</f>
        <v>8.2895898818969727</v>
      </c>
      <c r="B23">
        <f>dynamic_test_3hop!L20-dynamic_test_3hop!M20</f>
        <v>2</v>
      </c>
      <c r="H23">
        <f>dynamic_test_7hop!E14-dynamic_test_7hop!D14</f>
        <v>5.5623300075531006</v>
      </c>
      <c r="I23">
        <f>dynamic_test_7hop!L14-dynamic_test_7hop!M14</f>
        <v>1</v>
      </c>
    </row>
    <row r="24" spans="1:9" x14ac:dyDescent="0.2">
      <c r="A24">
        <f>dynamic_test_3hop!E9-dynamic_test_3hop!D9</f>
        <v>8.2244200706481934</v>
      </c>
      <c r="B24">
        <f>dynamic_test_3hop!L9-dynamic_test_3hop!M9</f>
        <v>3</v>
      </c>
      <c r="H24">
        <f>dynamic_test_7hop!E15-dynamic_test_7hop!D15</f>
        <v>4.229489803314209</v>
      </c>
      <c r="I24">
        <f>dynamic_test_7hop!L15-dynamic_test_7hop!M15</f>
        <v>1</v>
      </c>
    </row>
    <row r="25" spans="1:9" x14ac:dyDescent="0.2">
      <c r="A25">
        <f>dynamic_test_3hop!E10-dynamic_test_3hop!D10</f>
        <v>7.9276301860809326</v>
      </c>
      <c r="B25">
        <f>dynamic_test_3hop!L10-dynamic_test_3hop!M10</f>
        <v>3</v>
      </c>
      <c r="H25">
        <f>dynamic_test_7hop!E19-dynamic_test_7hop!D19</f>
        <v>4.2816500663757324</v>
      </c>
      <c r="I25">
        <f>dynamic_test_7hop!L19-dynamic_test_7hop!M19</f>
        <v>1</v>
      </c>
    </row>
    <row r="26" spans="1:9" x14ac:dyDescent="0.2">
      <c r="A26">
        <f>dynamic_test_3hop!E11-dynamic_test_3hop!D11</f>
        <v>8.773360013961792</v>
      </c>
      <c r="B26">
        <f>dynamic_test_3hop!L11-dynamic_test_3hop!M11</f>
        <v>3</v>
      </c>
      <c r="H26">
        <f>dynamic_test_7hop!E20-dynamic_test_7hop!D20</f>
        <v>7.6958301067352295</v>
      </c>
      <c r="I26">
        <f>dynamic_test_7hop!L20-dynamic_test_7hop!M20</f>
        <v>1</v>
      </c>
    </row>
    <row r="27" spans="1:9" x14ac:dyDescent="0.2">
      <c r="A27">
        <f>dynamic_test_3hop!E19-dynamic_test_3hop!D19</f>
        <v>9.4284298419952393</v>
      </c>
      <c r="B27">
        <f>dynamic_test_3hop!L19-dynamic_test_3hop!M19</f>
        <v>3</v>
      </c>
      <c r="H27">
        <f>dynamic_test_7hop!E21-dynamic_test_7hop!D21</f>
        <v>6.9838700294494629</v>
      </c>
      <c r="I27">
        <f>dynamic_test_7hop!L21-dynamic_test_7hop!M21</f>
        <v>1</v>
      </c>
    </row>
    <row r="28" spans="1:9" x14ac:dyDescent="0.2">
      <c r="H28">
        <f>dynamic_test_7hop!E23-dynamic_test_7hop!D23</f>
        <v>9.4755299091339111</v>
      </c>
      <c r="I28">
        <f>dynamic_test_7hop!L23-dynamic_test_7hop!M23</f>
        <v>1</v>
      </c>
    </row>
    <row r="29" spans="1:9" x14ac:dyDescent="0.2">
      <c r="H29">
        <f>dynamic_test_7hop!E24-dynamic_test_7hop!D24</f>
        <v>4.2533600330352783</v>
      </c>
      <c r="I29">
        <f>dynamic_test_7hop!L24-dynamic_test_7hop!M24</f>
        <v>1</v>
      </c>
    </row>
    <row r="30" spans="1:9" x14ac:dyDescent="0.2">
      <c r="H30">
        <f>dynamic_test_7hop!E25-dynamic_test_7hop!D25</f>
        <v>6.7750799655914307</v>
      </c>
      <c r="I30">
        <f>dynamic_test_7hop!L25-dynamic_test_7hop!M25</f>
        <v>1</v>
      </c>
    </row>
    <row r="31" spans="1:9" x14ac:dyDescent="0.2">
      <c r="H31">
        <f>dynamic_test_7hop!E26-dynamic_test_7hop!D26</f>
        <v>4.3078000545501709</v>
      </c>
      <c r="I31">
        <f>dynamic_test_7hop!L26-dynamic_test_7hop!M26</f>
        <v>1</v>
      </c>
    </row>
    <row r="32" spans="1:9" x14ac:dyDescent="0.2">
      <c r="H32">
        <f>dynamic_test_7hop!E54-dynamic_test_7hop!D54</f>
        <v>5.4314899444580078</v>
      </c>
      <c r="I32">
        <f>dynamic_test_7hop!L54-dynamic_test_7hop!M54</f>
        <v>1</v>
      </c>
    </row>
    <row r="33" spans="8:9" x14ac:dyDescent="0.2">
      <c r="H33">
        <f>dynamic_test_7hop!E55-dynamic_test_7hop!D55</f>
        <v>12.571199893951416</v>
      </c>
      <c r="I33">
        <f>dynamic_test_7hop!L55-dynamic_test_7hop!M55</f>
        <v>1</v>
      </c>
    </row>
    <row r="34" spans="8:9" x14ac:dyDescent="0.2">
      <c r="H34">
        <f>dynamic_test_7hop!E18-dynamic_test_7hop!D18</f>
        <v>6.2929298877716064</v>
      </c>
      <c r="I34">
        <f>dynamic_test_7hop!L18-dynamic_test_7hop!M18</f>
        <v>2</v>
      </c>
    </row>
    <row r="35" spans="8:9" x14ac:dyDescent="0.2">
      <c r="H35">
        <f>dynamic_test_7hop!E27-dynamic_test_7hop!D27</f>
        <v>8.0320501327514648</v>
      </c>
      <c r="I35">
        <f>dynamic_test_7hop!L27-dynamic_test_7hop!M27</f>
        <v>2</v>
      </c>
    </row>
    <row r="36" spans="8:9" x14ac:dyDescent="0.2">
      <c r="H36">
        <f>dynamic_test_7hop!E28-dynamic_test_7hop!D28</f>
        <v>6.0901198387145996</v>
      </c>
      <c r="I36">
        <f>dynamic_test_7hop!L28-dynamic_test_7hop!M28</f>
        <v>2</v>
      </c>
    </row>
    <row r="37" spans="8:9" x14ac:dyDescent="0.2">
      <c r="H37">
        <f>dynamic_test_7hop!E29-dynamic_test_7hop!D29</f>
        <v>11.535619974136353</v>
      </c>
      <c r="I37">
        <f>dynamic_test_7hop!L29-dynamic_test_7hop!M29</f>
        <v>2</v>
      </c>
    </row>
    <row r="38" spans="8:9" x14ac:dyDescent="0.2">
      <c r="H38">
        <f>dynamic_test_7hop!E43-dynamic_test_7hop!D43</f>
        <v>6.2359099388122559</v>
      </c>
      <c r="I38">
        <f>dynamic_test_7hop!L43-dynamic_test_7hop!M43</f>
        <v>2</v>
      </c>
    </row>
    <row r="39" spans="8:9" x14ac:dyDescent="0.2">
      <c r="H39">
        <f>dynamic_test_7hop!E45-dynamic_test_7hop!D45</f>
        <v>6.9728498458862305</v>
      </c>
      <c r="I39">
        <f>dynamic_test_7hop!L45-dynamic_test_7hop!M45</f>
        <v>2</v>
      </c>
    </row>
    <row r="40" spans="8:9" x14ac:dyDescent="0.2">
      <c r="H40">
        <f>dynamic_test_7hop!E46-dynamic_test_7hop!D46</f>
        <v>6.8747200965881348</v>
      </c>
      <c r="I40">
        <f>dynamic_test_7hop!L46-dynamic_test_7hop!M46</f>
        <v>2</v>
      </c>
    </row>
    <row r="41" spans="8:9" x14ac:dyDescent="0.2">
      <c r="H41">
        <f>dynamic_test_7hop!E47-dynamic_test_7hop!D47</f>
        <v>9.6630101203918457</v>
      </c>
      <c r="I41">
        <f>dynamic_test_7hop!L47-dynamic_test_7hop!M47</f>
        <v>2</v>
      </c>
    </row>
    <row r="42" spans="8:9" x14ac:dyDescent="0.2">
      <c r="H42">
        <f>dynamic_test_7hop!E48-dynamic_test_7hop!D48</f>
        <v>8.0954799652099609</v>
      </c>
      <c r="I42">
        <f>dynamic_test_7hop!L48-dynamic_test_7hop!M48</f>
        <v>2</v>
      </c>
    </row>
    <row r="43" spans="8:9" x14ac:dyDescent="0.2">
      <c r="H43">
        <f>dynamic_test_7hop!E49-dynamic_test_7hop!D49</f>
        <v>12.416559934616089</v>
      </c>
      <c r="I43">
        <f>dynamic_test_7hop!L49-dynamic_test_7hop!M49</f>
        <v>2</v>
      </c>
    </row>
    <row r="44" spans="8:9" x14ac:dyDescent="0.2">
      <c r="H44">
        <f>dynamic_test_7hop!E51-dynamic_test_7hop!D51</f>
        <v>7.3911099433898926</v>
      </c>
      <c r="I44">
        <f>dynamic_test_7hop!L51-dynamic_test_7hop!M51</f>
        <v>2</v>
      </c>
    </row>
    <row r="45" spans="8:9" x14ac:dyDescent="0.2">
      <c r="H45">
        <f>dynamic_test_7hop!E52-dynamic_test_7hop!D52</f>
        <v>8.2458498477935791</v>
      </c>
      <c r="I45">
        <f>dynamic_test_7hop!L52-dynamic_test_7hop!M52</f>
        <v>2</v>
      </c>
    </row>
    <row r="46" spans="8:9" x14ac:dyDescent="0.2">
      <c r="H46">
        <f>dynamic_test_7hop!E53-dynamic_test_7hop!D53</f>
        <v>7.1059000492095947</v>
      </c>
      <c r="I46">
        <f>dynamic_test_7hop!L53-dynamic_test_7hop!M53</f>
        <v>2</v>
      </c>
    </row>
    <row r="47" spans="8:9" x14ac:dyDescent="0.2">
      <c r="H47">
        <f>dynamic_test_7hop!E16-dynamic_test_7hop!D16</f>
        <v>8.5181601047515869</v>
      </c>
      <c r="I47">
        <f>dynamic_test_7hop!L16-dynamic_test_7hop!M16</f>
        <v>3</v>
      </c>
    </row>
    <row r="48" spans="8:9" x14ac:dyDescent="0.2">
      <c r="H48">
        <f>dynamic_test_7hop!E17-dynamic_test_7hop!D17</f>
        <v>10.298759937286377</v>
      </c>
      <c r="I48">
        <f>dynamic_test_7hop!L17-dynamic_test_7hop!M17</f>
        <v>3</v>
      </c>
    </row>
    <row r="49" spans="8:9" x14ac:dyDescent="0.2">
      <c r="H49">
        <f>dynamic_test_7hop!E30-dynamic_test_7hop!D30</f>
        <v>8.7825500965118408</v>
      </c>
      <c r="I49">
        <f>dynamic_test_7hop!L30-dynamic_test_7hop!M30</f>
        <v>3</v>
      </c>
    </row>
    <row r="50" spans="8:9" x14ac:dyDescent="0.2">
      <c r="H50">
        <f>dynamic_test_7hop!E31-dynamic_test_7hop!D31</f>
        <v>10.722690105438232</v>
      </c>
      <c r="I50">
        <f>dynamic_test_7hop!L31-dynamic_test_7hop!M31</f>
        <v>3</v>
      </c>
    </row>
    <row r="51" spans="8:9" x14ac:dyDescent="0.2">
      <c r="H51">
        <f>dynamic_test_7hop!E32-dynamic_test_7hop!D32</f>
        <v>9.2752299308776855</v>
      </c>
      <c r="I51">
        <f>dynamic_test_7hop!L32-dynamic_test_7hop!M32</f>
        <v>3</v>
      </c>
    </row>
    <row r="52" spans="8:9" x14ac:dyDescent="0.2">
      <c r="H52">
        <f>dynamic_test_7hop!E33-dynamic_test_7hop!D33</f>
        <v>11.458189964294434</v>
      </c>
      <c r="I52">
        <f>dynamic_test_7hop!L33-dynamic_test_7hop!M33</f>
        <v>3</v>
      </c>
    </row>
    <row r="53" spans="8:9" x14ac:dyDescent="0.2">
      <c r="H53">
        <f>dynamic_test_7hop!E34-dynamic_test_7hop!D34</f>
        <v>8.3998498916625977</v>
      </c>
      <c r="I53">
        <f>dynamic_test_7hop!L34-dynamic_test_7hop!M34</f>
        <v>3</v>
      </c>
    </row>
    <row r="54" spans="8:9" x14ac:dyDescent="0.2">
      <c r="H54">
        <f>dynamic_test_7hop!E35-dynamic_test_7hop!D35</f>
        <v>10.616899967193604</v>
      </c>
      <c r="I54">
        <f>dynamic_test_7hop!L35-dynamic_test_7hop!M35</f>
        <v>3</v>
      </c>
    </row>
    <row r="55" spans="8:9" x14ac:dyDescent="0.2">
      <c r="H55">
        <f>dynamic_test_7hop!E36-dynamic_test_7hop!D36</f>
        <v>11.051949977874756</v>
      </c>
      <c r="I55">
        <f>dynamic_test_7hop!L36-dynamic_test_7hop!M36</f>
        <v>3</v>
      </c>
    </row>
    <row r="56" spans="8:9" x14ac:dyDescent="0.2">
      <c r="H56">
        <f>dynamic_test_7hop!E37-dynamic_test_7hop!D37</f>
        <v>8.1484298706054688</v>
      </c>
      <c r="I56">
        <f>dynamic_test_7hop!L37-dynamic_test_7hop!M37</f>
        <v>3</v>
      </c>
    </row>
    <row r="57" spans="8:9" x14ac:dyDescent="0.2">
      <c r="H57">
        <f>dynamic_test_7hop!E39-dynamic_test_7hop!D39</f>
        <v>9.9340999126434326</v>
      </c>
      <c r="I57">
        <f>dynamic_test_7hop!L39-dynamic_test_7hop!M39</f>
        <v>3</v>
      </c>
    </row>
    <row r="58" spans="8:9" x14ac:dyDescent="0.2">
      <c r="H58">
        <f>dynamic_test_7hop!E41-dynamic_test_7hop!D41</f>
        <v>10.235640048980713</v>
      </c>
      <c r="I58">
        <f>dynamic_test_7hop!L41-dynamic_test_7hop!M41</f>
        <v>3</v>
      </c>
    </row>
    <row r="59" spans="8:9" x14ac:dyDescent="0.2">
      <c r="H59">
        <f>dynamic_test_7hop!E42-dynamic_test_7hop!D42</f>
        <v>8.3150398731231689</v>
      </c>
      <c r="I59">
        <f>dynamic_test_7hop!L42-dynamic_test_7hop!M42</f>
        <v>3</v>
      </c>
    </row>
    <row r="60" spans="8:9" x14ac:dyDescent="0.2">
      <c r="H60">
        <f>dynamic_test_7hop!E44-dynamic_test_7hop!D44</f>
        <v>11.176090002059937</v>
      </c>
      <c r="I60">
        <f>dynamic_test_7hop!L44-dynamic_test_7hop!M44</f>
        <v>3</v>
      </c>
    </row>
    <row r="61" spans="8:9" x14ac:dyDescent="0.2">
      <c r="H61">
        <f>dynamic_test_7hop!E50-dynamic_test_7hop!D50</f>
        <v>12.80295991897583</v>
      </c>
      <c r="I61">
        <f>dynamic_test_7hop!L50-dynamic_test_7hop!M50</f>
        <v>3</v>
      </c>
    </row>
    <row r="62" spans="8:9" x14ac:dyDescent="0.2">
      <c r="H62">
        <f>dynamic_test_7hop!E38-dynamic_test_7hop!D38</f>
        <v>11.986779928207397</v>
      </c>
      <c r="I62">
        <f>dynamic_test_7hop!L38-dynamic_test_7hop!M38</f>
        <v>4</v>
      </c>
    </row>
    <row r="63" spans="8:9" x14ac:dyDescent="0.2">
      <c r="H63">
        <f>dynamic_test_7hop!E40-dynamic_test_7hop!D40</f>
        <v>16.688750028610229</v>
      </c>
      <c r="I63">
        <f>dynamic_test_7hop!L40-dynamic_test_7hop!M40</f>
        <v>5</v>
      </c>
    </row>
  </sheetData>
  <autoFilter ref="I1:I302" xr:uid="{989DF739-6388-4148-A059-6611E59D4738}"/>
  <sortState xmlns:xlrd2="http://schemas.microsoft.com/office/spreadsheetml/2017/richdata2" ref="H2:I63">
    <sortCondition ref="I2:I6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dynamic_test_3hop</vt:lpstr>
      <vt:lpstr>dynamic_test_7hop</vt:lpstr>
      <vt:lpstr>extra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Earle</cp:lastModifiedBy>
  <dcterms:created xsi:type="dcterms:W3CDTF">2026-07-09T15:45:23Z</dcterms:created>
  <dcterms:modified xsi:type="dcterms:W3CDTF">2026-07-16T17:02:30Z</dcterms:modified>
</cp:coreProperties>
</file>